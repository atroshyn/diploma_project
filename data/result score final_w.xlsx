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hii\Downloads\"/>
    </mc:Choice>
  </mc:AlternateContent>
  <xr:revisionPtr revIDLastSave="0" documentId="13_ncr:1_{4D12AE14-290A-430C-B0EE-725B026408AA}" xr6:coauthVersionLast="47" xr6:coauthVersionMax="47" xr10:uidLastSave="{00000000-0000-0000-0000-000000000000}"/>
  <bookViews>
    <workbookView xWindow="-108" yWindow="-108" windowWidth="23256" windowHeight="12456" xr2:uid="{0EDFD25A-33B4-4E1C-AF5D-0E2277518FA6}"/>
  </bookViews>
  <sheets>
    <sheet name="Total" sheetId="3" r:id="rId1"/>
    <sheet name="products_final_scores_scenarios" sheetId="2" r:id="rId2"/>
  </sheets>
  <definedNames>
    <definedName name="ExternalData_1" localSheetId="1" hidden="1">products_final_scores_scenarios!$A$1:$L$303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3" i="2" l="1"/>
  <c r="N303" i="2"/>
  <c r="O303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F6D5D6-430E-407B-9A83-D8F524C1F9C1}" keepAlive="1" name="Запит – products_final_scores_scenarios" description="Підключення до запита &quot;products_final_scores_scenarios&quot; у книзі." type="5" refreshedVersion="8" background="1" saveData="1">
    <dbPr connection="Provider=Microsoft.Mashup.OleDb.1;Data Source=$Workbook$;Location=products_final_scores_scenarios;Extended Properties=&quot;&quot;" command="SELECT * FROM [products_final_scores_scenarios]"/>
  </connection>
</connections>
</file>

<file path=xl/sharedStrings.xml><?xml version="1.0" encoding="utf-8"?>
<sst xmlns="http://schemas.openxmlformats.org/spreadsheetml/2006/main" count="971" uniqueCount="387">
  <si>
    <t>sku</t>
  </si>
  <si>
    <t>brand</t>
  </si>
  <si>
    <t>category_id</t>
  </si>
  <si>
    <t>category_name</t>
  </si>
  <si>
    <t>reviews_count</t>
  </si>
  <si>
    <t>rating_raw</t>
  </si>
  <si>
    <t>rating_smoothed</t>
  </si>
  <si>
    <t>base_score</t>
  </si>
  <si>
    <t>final_score__soft</t>
  </si>
  <si>
    <t>final_score__balanced</t>
  </si>
  <si>
    <t>final_score__strict</t>
  </si>
  <si>
    <t>final_score__very_strict</t>
  </si>
  <si>
    <t>2E SoundXBlock 20W</t>
  </si>
  <si>
    <t>2E</t>
  </si>
  <si>
    <t>Портативні колонки</t>
  </si>
  <si>
    <t>2E SoundXPill 30W</t>
  </si>
  <si>
    <t>2E SoundXTube 30W</t>
  </si>
  <si>
    <t>2E SoundXTube Plus 40W</t>
  </si>
  <si>
    <t>ANIMAL</t>
  </si>
  <si>
    <t>Animal</t>
  </si>
  <si>
    <t>ARIYUAN A5 / 500 Вт / 520 Вт⋅год / Li-ion</t>
  </si>
  <si>
    <t>ARIYUAN</t>
  </si>
  <si>
    <t>Зарядні станції</t>
  </si>
  <si>
    <t>AXXIS Bluetooth, PowerBank 5000mA, сонячна батарея</t>
  </si>
  <si>
    <t>Axxis</t>
  </si>
  <si>
    <t>Allpowers Volix P300 / 300 Вт / 256 Вт⋅год / LiFePO4 (ALLP_VOLIX_P300)</t>
  </si>
  <si>
    <t>Allpowers</t>
  </si>
  <si>
    <t>Anker PowerHouse 535 (500W/512Wh)</t>
  </si>
  <si>
    <t>Anker</t>
  </si>
  <si>
    <t>Anker Solix C1000X / 1800 Вт / 1056 Вт⋅год / LiFePO4 (A1761311/A17613Z1)</t>
  </si>
  <si>
    <t>Anker Solix F1500 / 1842 Вт / 1536 Вт⋅год / LiFePO4 (A1772311)</t>
  </si>
  <si>
    <t>Anker Solix F2000 2048Wh 2300W (A1780311)</t>
  </si>
  <si>
    <t>Anker SoundCore 2 Black</t>
  </si>
  <si>
    <t>Apple iPad 11" 2025 Wi-Fi 128GB</t>
  </si>
  <si>
    <t>Apple</t>
  </si>
  <si>
    <t>Планшети</t>
  </si>
  <si>
    <t>Apple iPad Air 11" M3 2025 Wi-Fi 128GB</t>
  </si>
  <si>
    <t>Apple iPad Air 11" M3 2025 Wi-Fi 256GB</t>
  </si>
  <si>
    <t>Apple iPad Pro 11" M5 2025 Wi-Fi 256GB</t>
  </si>
  <si>
    <t>Apple iPad Pro 11" M5 2025 Wi-Fi 512GB</t>
  </si>
  <si>
    <t>Apple iPhone 15 128GB</t>
  </si>
  <si>
    <t>Смартфони</t>
  </si>
  <si>
    <t>Apple iPhone 15 256GB</t>
  </si>
  <si>
    <t>Apple iPhone 16 128GB</t>
  </si>
  <si>
    <t>Apple iPhone 16 Plus 128GB</t>
  </si>
  <si>
    <t>Apple iPhone 16 Plus 256GB</t>
  </si>
  <si>
    <t>Apple iPhone 17 256GB</t>
  </si>
  <si>
    <t>Apple iPhone 17 Pro 256GB</t>
  </si>
  <si>
    <t>Apple iPhone 17 Pro Max 256GB</t>
  </si>
  <si>
    <t>Apple iPhone 17 Pro Max 512GB</t>
  </si>
  <si>
    <t>Apple iPhone Air 256GB</t>
  </si>
  <si>
    <t>Apple iPhone Air 512GB</t>
  </si>
  <si>
    <t>Archos</t>
  </si>
  <si>
    <t>BLUETTI AC180P 1440Wh | 1800W</t>
  </si>
  <si>
    <t>Bluetti</t>
  </si>
  <si>
    <t>BLUETTI AC200L 2048Wh | 2400W</t>
  </si>
  <si>
    <t>BLUETTI AC70 768Wh | 1000W</t>
  </si>
  <si>
    <t>BOROFONE BR16</t>
  </si>
  <si>
    <t>Borofone</t>
  </si>
  <si>
    <t>BOROFONE BR17</t>
  </si>
  <si>
    <t>BOROFONE BR21</t>
  </si>
  <si>
    <t>BOROFONE BR3</t>
  </si>
  <si>
    <t>Bang &amp; Olufsen BeoSound A1 2nd Gen Black Anthracite (1734002)</t>
  </si>
  <si>
    <t>Bang &amp; Olufsen</t>
  </si>
  <si>
    <t>Bang &amp; Olufsen BeoSound Explore Green</t>
  </si>
  <si>
    <t>Bang &amp; Olufsen Beolit 20 Grey Mist (1253303)</t>
  </si>
  <si>
    <t>Blackview Active 10 Pro 5G 12/512GB</t>
  </si>
  <si>
    <t>Blackview</t>
  </si>
  <si>
    <t>Bluetti AC300 + Додаткова батарея B500K / 3000 Вт / 5120 Вт⋅год / LiFePO4 (3000W AC300+B500K)</t>
  </si>
  <si>
    <t>Bluetti AC70P / 1000 Вт / 864 Вт⋅год / LiFePO4 (PB931378)</t>
  </si>
  <si>
    <t>Bluetti EB3A 600W 268Wh</t>
  </si>
  <si>
    <t>Bluetti Elite 10 / 200 Вт / 128 Вт⋅год / LiFePO4 (P-EL10-EU-GY-BL-010)</t>
  </si>
  <si>
    <t>Borofone BR18</t>
  </si>
  <si>
    <t>CTECHI GT200 300Вт(200Вт) 240 Вт*Г(англійська версія)</t>
  </si>
  <si>
    <t>CTECHi</t>
  </si>
  <si>
    <t>CTECHI GT200 PRO 320 Вт*Г 240 Вт(англійська версія)</t>
  </si>
  <si>
    <t>DaranEner NEOZ, акумулятор LiFePO4 потужністю 300 Вт</t>
  </si>
  <si>
    <t>Daranener</t>
  </si>
  <si>
    <t>Doogee Tab E3 LTE 8/256GB</t>
  </si>
  <si>
    <t>Doogee</t>
  </si>
  <si>
    <t>ECOFLOW Delta 2 MAX EU 2400 Вт / 4800 Вт/ 2048 Вт-год</t>
  </si>
  <si>
    <t>EcoFlow</t>
  </si>
  <si>
    <t>EcoFlow DELTA 2 1024Wh | 1800W</t>
  </si>
  <si>
    <t>EcoFlow DELTA 3 EU / 1800 Вт / 1024 Вт⋅год / LiFePO4 (EFDELTA3-EU)</t>
  </si>
  <si>
    <t>EcoFlow DELTA 3 Plus / 1800 Вт / 1024 Вт⋅год / LiFePO4 (EFDELTA3P-EU)</t>
  </si>
  <si>
    <t>EcoFlow DELTA Pro (3600 Вт·год / 3600 Вт)</t>
  </si>
  <si>
    <t>EcoFlow DELTA Pro 3 (4096 Вт·год / 4000 Вт)</t>
  </si>
  <si>
    <t>EcoFlow Delta 2 1800Вт (1024 Вт/ч)</t>
  </si>
  <si>
    <t>EcoFlow RIVER 2 Max 500 Вт 512 Вт/год</t>
  </si>
  <si>
    <t>EcoFlow RIVER 2 Pro 768Wh | 800W (ZMR620-B-EU)</t>
  </si>
  <si>
    <t>EcoFlow RIVER 3 UPS 245Wh | 300W (EFRIVER3-UPS-EU-CBox)</t>
  </si>
  <si>
    <t>EcoFlow River 2</t>
  </si>
  <si>
    <t>EcoFlow River 3 Plus 600Вт, 286 Вт/год</t>
  </si>
  <si>
    <t>EcoFlow TRAIL 200 DC 60000 mAh 192Wh LiFePO4</t>
  </si>
  <si>
    <t>Ecoflow Delta 3 1500 / 1800 Вт / 1536 Вт⋅год / LiFePO4 (EFDELTA1500-EU)</t>
  </si>
  <si>
    <t>FlashFish P60 потужністю 560 Вт, сонячний генератор 520 Вт·год/140400 мАг</t>
  </si>
  <si>
    <t>Flashfish</t>
  </si>
  <si>
    <t>Fossibot F2400 2400 Вт / 2048 Вт⋅год / LiFePO4 (9007312194749)</t>
  </si>
  <si>
    <t>Fossibot</t>
  </si>
  <si>
    <t>Godwin QX3600/3600W</t>
  </si>
  <si>
    <t>Godwin</t>
  </si>
  <si>
    <t>Golon (RX-1829BT)</t>
  </si>
  <si>
    <t>Golon</t>
  </si>
  <si>
    <t>HMD 2660 4G Flip DS</t>
  </si>
  <si>
    <t>HMD</t>
  </si>
  <si>
    <t>HMD Pulse 4/64GB</t>
  </si>
  <si>
    <t>HMD Pulse Pro 8/256GB</t>
  </si>
  <si>
    <t>HOCO BS52</t>
  </si>
  <si>
    <t>Hoco</t>
  </si>
  <si>
    <t>HOCO Dancer Outdoor Wireless Speaker BS37</t>
  </si>
  <si>
    <t>HOCO HC1</t>
  </si>
  <si>
    <t>HOCO Mature outdoor BT speaker BS46</t>
  </si>
  <si>
    <t>HOCO wireless speaker BS40</t>
  </si>
  <si>
    <t>HOPESTAR A20 PRO</t>
  </si>
  <si>
    <t>Hopestar</t>
  </si>
  <si>
    <t>HOPESTAR Party 100</t>
  </si>
  <si>
    <t>Hoco BS30</t>
  </si>
  <si>
    <t>Hoco BS33 Voice Black (721044) [53926]</t>
  </si>
  <si>
    <t>Hoco BS45</t>
  </si>
  <si>
    <t>Hoco HC11 із ліхтариком Bora</t>
  </si>
  <si>
    <t>Hoco HC3 "Bounce" 5W*2</t>
  </si>
  <si>
    <t>Hoco HC7 Pleasant sports</t>
  </si>
  <si>
    <t>Hoco HC8 Pulsating</t>
  </si>
  <si>
    <t>Hoco HC9 Dazzling</t>
  </si>
  <si>
    <t>Hoco Portable Speaker BS47</t>
  </si>
  <si>
    <t>Hopestar A30 55W</t>
  </si>
  <si>
    <t>Hopestar A6 Pro 45Вт</t>
  </si>
  <si>
    <t>Hopestar A6X</t>
  </si>
  <si>
    <t>Hopestar H20</t>
  </si>
  <si>
    <t>Hopestar H24</t>
  </si>
  <si>
    <t>Hopestar H24 Original 10W</t>
  </si>
  <si>
    <t>Hopestar H39</t>
  </si>
  <si>
    <t>Hopestar H50</t>
  </si>
  <si>
    <t>Hopestar Hopestar H37</t>
  </si>
  <si>
    <t>Hopestar P32</t>
  </si>
  <si>
    <t>Infinix GT 30 Pro 12/256GB</t>
  </si>
  <si>
    <t>Infinix</t>
  </si>
  <si>
    <t>Infinix HOT 50 8/128GB</t>
  </si>
  <si>
    <t>Infinix HOT 50 8/256GB</t>
  </si>
  <si>
    <t>Infinix HOT 50 Pro 8/256GB</t>
  </si>
  <si>
    <t>Infinix HOT 60 Pro 8/128GB</t>
  </si>
  <si>
    <t>Infinix HOT 60 Pro 8/256GB</t>
  </si>
  <si>
    <t>Infinix HOT 60i 4/128GB</t>
  </si>
  <si>
    <t>Infinix HOT 60i 8/256GB</t>
  </si>
  <si>
    <t>Infinix Note 50 8/256GB</t>
  </si>
  <si>
    <t>Infinix Note 50 Pro 12/256GB</t>
  </si>
  <si>
    <t>Infinix SMART 10 4/128GB</t>
  </si>
  <si>
    <t>JBL Boombox 3 (JBLBOOMBOX3BLKEP)</t>
  </si>
  <si>
    <t>JBL</t>
  </si>
  <si>
    <t>JBL Charge 5 (JBLCHARGE5TEAL)</t>
  </si>
  <si>
    <t>JBL Clip 4 (JBLCLIP4BLU)</t>
  </si>
  <si>
    <t>JBL Flip 5 (JBLFLIP5BLKEU)</t>
  </si>
  <si>
    <t>JBL Flip 6 (JBLFLIP6SQUAD) [69512]</t>
  </si>
  <si>
    <t>JBL Flip Essential 2 (JBLFLIPES2)</t>
  </si>
  <si>
    <t>JBL Go 3 (JBLGO3BLUP)</t>
  </si>
  <si>
    <t>JBL Xtreme 3 (JBLXTREME3CAMOEU)</t>
  </si>
  <si>
    <t>Lenovo Idea Tab Plus Wi-Fi 8/256GB</t>
  </si>
  <si>
    <t>Lenovo</t>
  </si>
  <si>
    <t>Lenovo Idea Tab Pro 8/256GB</t>
  </si>
  <si>
    <t>Lenovo Idea Tab Pro Wi-Fi 12/256GB</t>
  </si>
  <si>
    <t>Lenovo Idea Tab Wi-Fi 8/128GB</t>
  </si>
  <si>
    <t>Lenovo Legion Tab (3rd Gen) Wi-Fi 16/512GB</t>
  </si>
  <si>
    <t>Lenovo Tab K11 Plus TB352FU Wi-Fi 8/256GB</t>
  </si>
  <si>
    <t>Lenovo Tab K11 Plus TB352XU LTE 8/256GB</t>
  </si>
  <si>
    <t>Lenovo Tab M11 8/128Gb WiFi</t>
  </si>
  <si>
    <t>Lenovo Tab One Wi-Fi 4/128GB</t>
  </si>
  <si>
    <t>Lenovo Tab Plus Wi-Fi 8/256GB</t>
  </si>
  <si>
    <t>Lenovo Tab Wi-Fi 8/128GB</t>
  </si>
  <si>
    <t>Lenovo Yoga Tab 11 Wi-Fi 12/256GB</t>
  </si>
  <si>
    <t>Lenovo Yoga Tab 11 Wi-Fi 8/256GB</t>
  </si>
  <si>
    <t>Lenovo Yoga Tab Plus Wi-Fi 16/256GB</t>
  </si>
  <si>
    <t>Marshall Emberton Black (1001908)</t>
  </si>
  <si>
    <t>Marshall</t>
  </si>
  <si>
    <t>Marshall Willen Black and Brass (1006059)</t>
  </si>
  <si>
    <t>Marstek Venus-E / 2500 Вт / 5120 Вт⋅год / LiFePO4</t>
  </si>
  <si>
    <t>Marstek</t>
  </si>
  <si>
    <t>Maxcom MM244</t>
  </si>
  <si>
    <t>Maxcom</t>
  </si>
  <si>
    <t>Maxcom MM35D</t>
  </si>
  <si>
    <t>Maxcom MM426</t>
  </si>
  <si>
    <t>Mimi Friends Зефірка</t>
  </si>
  <si>
    <t>Mimifriends</t>
  </si>
  <si>
    <t>Miniphone SERVO B25</t>
  </si>
  <si>
    <t>Servo</t>
  </si>
  <si>
    <t>Motorola Edge 50 Fusion 8/128GB</t>
  </si>
  <si>
    <t>Motorola</t>
  </si>
  <si>
    <t>Motorola Edge 50 Fusion 8/256GB</t>
  </si>
  <si>
    <t>Motorola Edge 60 12/256GB</t>
  </si>
  <si>
    <t>Motorola Edge 60 Fusion 8/256GB</t>
  </si>
  <si>
    <t>Motorola Edge 60 Pro 12/512GB</t>
  </si>
  <si>
    <t>Motorola Edge 60 Pro 8/256GB</t>
  </si>
  <si>
    <t>Motorola Edge 70 12/512GB PANTONE</t>
  </si>
  <si>
    <t>Motorola G06 4/256GB PANTONE</t>
  </si>
  <si>
    <t>Motorola G06 4/64GB PANTONE</t>
  </si>
  <si>
    <t>Motorola G86 5G 8/256GB</t>
  </si>
  <si>
    <t>Motorola Moto G06 Power 4/256GB</t>
  </si>
  <si>
    <t>Motorola Moto G57 Power 8/256GB</t>
  </si>
  <si>
    <t>Nokia 105 DS 2023</t>
  </si>
  <si>
    <t>Nokia</t>
  </si>
  <si>
    <t>Nokia 105 DS 2024</t>
  </si>
  <si>
    <t>Nokia 105 SS 2023</t>
  </si>
  <si>
    <t>Nokia 106 DS 2023</t>
  </si>
  <si>
    <t>Nokia 110 DS 2024</t>
  </si>
  <si>
    <t>Nokia 130 DS 2023</t>
  </si>
  <si>
    <t>Nokia 150 DS 2023</t>
  </si>
  <si>
    <t>Nokia 215 4G (2024)</t>
  </si>
  <si>
    <t>Nokia 235 4G (2024)</t>
  </si>
  <si>
    <t>Nomi i1880</t>
  </si>
  <si>
    <t>Nomi</t>
  </si>
  <si>
    <t>Nomi i2403</t>
  </si>
  <si>
    <t>Nomi i2440</t>
  </si>
  <si>
    <t>Nubia Neo 3 5G 8/256GB</t>
  </si>
  <si>
    <t>Nubia</t>
  </si>
  <si>
    <t>Nubia Neo 3 GT 5G 12/256GB</t>
  </si>
  <si>
    <t>Nubia V70 8/256GB</t>
  </si>
  <si>
    <t>Nubia V70 Design 8/256GB</t>
  </si>
  <si>
    <t>Nubia V70 Max 6/128GB</t>
  </si>
  <si>
    <t>OPPO Reno 12 FS 8/512GB</t>
  </si>
  <si>
    <t>OPPO</t>
  </si>
  <si>
    <t>OPPO Reno13 12/256GB</t>
  </si>
  <si>
    <t>OSCAL Pad 50</t>
  </si>
  <si>
    <t>Oscal</t>
  </si>
  <si>
    <t>OnePlus Nord 3 5G (CPH2493) 16/256GB</t>
  </si>
  <si>
    <t>OnePlus</t>
  </si>
  <si>
    <t>OnePlus Nord 3 5G (CPH2493) 8/128GB</t>
  </si>
  <si>
    <t>OnePlus Nord 4 16/512GB</t>
  </si>
  <si>
    <t>Oscal Pad 100 LTE 8/256GB</t>
  </si>
  <si>
    <t>Oscal Pad 13 LTE 8/256GB</t>
  </si>
  <si>
    <t>Oscal Pad 50 Wi-Fi 2/64GB</t>
  </si>
  <si>
    <t>Oscal Pad 70 Wi-Fi 4/128GB</t>
  </si>
  <si>
    <t>Oukitel RT6 8/256GB 4G Dual Sim</t>
  </si>
  <si>
    <t>Oukitel</t>
  </si>
  <si>
    <t>Oukitel RT7 12Gb/512Gb 32000mAh</t>
  </si>
  <si>
    <t>Oukitel RT7 8Gb/256Gb 32000mAh</t>
  </si>
  <si>
    <t>Oukitel WP19pro 8/256GB</t>
  </si>
  <si>
    <t>Panasonic KX-TU110</t>
  </si>
  <si>
    <t>Panasonic</t>
  </si>
  <si>
    <t>Panasonic KX-TU550</t>
  </si>
  <si>
    <t>Pixus Combo LTE 8/256GB</t>
  </si>
  <si>
    <t>Pixus</t>
  </si>
  <si>
    <t>Pixus Titan LTE 8/256GB</t>
  </si>
  <si>
    <t>Poco C85 6/128GB</t>
  </si>
  <si>
    <t>Poco</t>
  </si>
  <si>
    <t>Poco C85 8/256GB</t>
  </si>
  <si>
    <t>Poco F8 Pro 12/256GB</t>
  </si>
  <si>
    <t>Poco M8 5G 8/256GB</t>
  </si>
  <si>
    <t>Poco M8 5G 8/512GB</t>
  </si>
  <si>
    <t>REAL-EL X-747 Black</t>
  </si>
  <si>
    <t>Real-El</t>
  </si>
  <si>
    <t>Realme 15T 12/256GB</t>
  </si>
  <si>
    <t>realme</t>
  </si>
  <si>
    <t>Realme 15T 8/256GB</t>
  </si>
  <si>
    <t>Realme C71 6/128GB</t>
  </si>
  <si>
    <t>Realme C71 8/256GB</t>
  </si>
  <si>
    <t>Realme C75 8/128GB</t>
  </si>
  <si>
    <t>Realme C75 8/256GB</t>
  </si>
  <si>
    <t>Realme Note 70 4/128GB</t>
  </si>
  <si>
    <t>Reca AST-311B</t>
  </si>
  <si>
    <t>RECA</t>
  </si>
  <si>
    <t>Reca AST-311BL</t>
  </si>
  <si>
    <t>S&amp;O LAB G1200 BYD, 1200Вт, Wi-fi App, 1024 Вт⋅год, LiFePO4</t>
  </si>
  <si>
    <t>S&amp;O LAB</t>
  </si>
  <si>
    <t>Samsung Galaxy A07 4/128GB</t>
  </si>
  <si>
    <t>Samsung</t>
  </si>
  <si>
    <t>Samsung Galaxy A16 4/128GB</t>
  </si>
  <si>
    <t>Samsung Galaxy A17 4/128GB</t>
  </si>
  <si>
    <t>Samsung Galaxy A17 8/256GB</t>
  </si>
  <si>
    <t>Samsung Galaxy A26 5G 6/128GB</t>
  </si>
  <si>
    <t>Samsung Galaxy A26 5G 8/256GB</t>
  </si>
  <si>
    <t>Samsung Galaxy A36 5G 6/128GB</t>
  </si>
  <si>
    <t>Samsung Galaxy A36 5G 8/256GB</t>
  </si>
  <si>
    <t>Samsung Galaxy A56 5G 8/128GB</t>
  </si>
  <si>
    <t>Samsung Galaxy A56 5G 8/256GB</t>
  </si>
  <si>
    <t>Samsung Galaxy Flip 7 12/256GB</t>
  </si>
  <si>
    <t>Samsung Galaxy Flip 7 12/512GB</t>
  </si>
  <si>
    <t>Samsung Galaxy Flip 7 FE 8/128GB</t>
  </si>
  <si>
    <t>Samsung Galaxy Fold 7 12/256GB</t>
  </si>
  <si>
    <t>Samsung Galaxy S25 12/256GB</t>
  </si>
  <si>
    <t>Samsung Galaxy S25 12/512GB</t>
  </si>
  <si>
    <t>Samsung Galaxy S25 FE 5G 8/128GB</t>
  </si>
  <si>
    <t>Samsung Galaxy S25 FE 5G 8/256GB</t>
  </si>
  <si>
    <t>Samsung Galaxy S25 FE 5G 8/512GB</t>
  </si>
  <si>
    <t>Samsung Galaxy S25 Ultra 12/256GB</t>
  </si>
  <si>
    <t>Samsung Galaxy S25 Ultra 12/512GB</t>
  </si>
  <si>
    <t>Samsung Galaxy S25 Ultra 12GB/1TB</t>
  </si>
  <si>
    <t>Samsung Galaxy Tab A11 LTE 4/64GB</t>
  </si>
  <si>
    <t>Samsung Galaxy Tab A11 Plus 5G 8/256GB</t>
  </si>
  <si>
    <t>Samsung Galaxy Tab A11 Plus Wi-Fi 8/256GB</t>
  </si>
  <si>
    <t>Samsung Galaxy Tab A11 Wi-Fi 4/64GB</t>
  </si>
  <si>
    <t>Samsung Galaxy Tab Active5 Wi-Fi 6/128GB</t>
  </si>
  <si>
    <t>Samsung Galaxy Tab S10 FE 5G 8/128GB</t>
  </si>
  <si>
    <t>Samsung Galaxy Tab S10 FE Wi-Fi 8/128GB</t>
  </si>
  <si>
    <t>Samsung Galaxy Tab S10 FE+ 5G 8/128GB</t>
  </si>
  <si>
    <t>Samsung Galaxy Tab S10 FE+ Wi-Fi 8/128GB</t>
  </si>
  <si>
    <t>Samsung Galaxy Tab S10 Lite 5G 6/128GB</t>
  </si>
  <si>
    <t>Samsung Galaxy Tab S10 Lite Wi-Fi 6/128GB</t>
  </si>
  <si>
    <t>Samsung Galaxy Tab S11 5G 12/256GB</t>
  </si>
  <si>
    <t>Sigma mobile Comfort 50 Easy</t>
  </si>
  <si>
    <t>Sigma mobile</t>
  </si>
  <si>
    <t>Sigma mobile Comfort 50 HIT2020</t>
  </si>
  <si>
    <t>Sigma mobile Comfort 50 Optima</t>
  </si>
  <si>
    <t>Sigma mobile Comfort 50 Shell DUO</t>
  </si>
  <si>
    <t>Sigma mobile Tab A1035 Basic LTE 6/128GB</t>
  </si>
  <si>
    <t>Sigma mobile X-Style 31 Power</t>
  </si>
  <si>
    <t>Sigma mobile X-Style 34 NRG</t>
  </si>
  <si>
    <t>Sigma mobile X-style 171 Mini</t>
  </si>
  <si>
    <t>Sigma mobile X-style 18 Track</t>
  </si>
  <si>
    <t>Sigma mobile X-style 242 LUCKY</t>
  </si>
  <si>
    <t>Sigma mobile X-style 281 Clik</t>
  </si>
  <si>
    <t>Sigma mobile X-style 310 Force</t>
  </si>
  <si>
    <t>Sigma mobile X-style 341 Bro</t>
  </si>
  <si>
    <t>Sigma mobile X-style 353 Trend</t>
  </si>
  <si>
    <t>Sigma mobile X-treme PA68</t>
  </si>
  <si>
    <t>Sigma mobile X-treme PK68</t>
  </si>
  <si>
    <t>Sigma mobile X-treme PQ55</t>
  </si>
  <si>
    <t>Sigma mobile X-treme PQ57 6/256GB</t>
  </si>
  <si>
    <t>Sigma mobile X-treme PQ58 12/256GB</t>
  </si>
  <si>
    <t>Sigma mobile X-treme PR68</t>
  </si>
  <si>
    <t>Sigma mobile X-treme PV68</t>
  </si>
  <si>
    <t>Sigma mobile X-treme PV69</t>
  </si>
  <si>
    <t>Sony SRS-XB13</t>
  </si>
  <si>
    <t>Sony</t>
  </si>
  <si>
    <t>T &amp; G 117</t>
  </si>
  <si>
    <t>T&amp;G</t>
  </si>
  <si>
    <t>Teclast M50 (8/128) LTE</t>
  </si>
  <si>
    <t>Teclast</t>
  </si>
  <si>
    <t>Teclast P50AI (6/128) WiFi</t>
  </si>
  <si>
    <t>Teclast T65 Plus (8/256) LTE</t>
  </si>
  <si>
    <t>Tecno Spark 40 (KM5n) 8/256GB</t>
  </si>
  <si>
    <t>Tecno</t>
  </si>
  <si>
    <t>Tecno Spark 40C (KM4k) 4/128GB</t>
  </si>
  <si>
    <t>Tecno Spark Go 2 (KM4) 3/64GB</t>
  </si>
  <si>
    <t>Tronsmart Element Splash1 Speaker</t>
  </si>
  <si>
    <t>Tronsmart</t>
  </si>
  <si>
    <t>Ulefone Armor 24 12/256GB</t>
  </si>
  <si>
    <t>Ulefone</t>
  </si>
  <si>
    <t>Ulefone Armor MINI 3 (IP68)</t>
  </si>
  <si>
    <t>V-TAC VT-303N / 300 Вт / 288 Вт⋅год / LiFePO4 (YT38057)</t>
  </si>
  <si>
    <t>V-TAC</t>
  </si>
  <si>
    <t>Xiaomi 15 12/256GB</t>
  </si>
  <si>
    <t>Xiaomi</t>
  </si>
  <si>
    <t>Xiaomi 15T 12/256GB</t>
  </si>
  <si>
    <t>Xiaomi 15T 12/512GB</t>
  </si>
  <si>
    <t>Xiaomi 15T Pro 12/256GB</t>
  </si>
  <si>
    <t>Xiaomi Redmi 13x 8/256GB</t>
  </si>
  <si>
    <t>Xiaomi Redmi 14C 4/128GB</t>
  </si>
  <si>
    <t>Xiaomi Redmi 15 6/128GB</t>
  </si>
  <si>
    <t>Xiaomi Redmi 15 8/256GB</t>
  </si>
  <si>
    <t>Xiaomi Redmi 15C 4/128GB</t>
  </si>
  <si>
    <t>Xiaomi Redmi 15C 8/256GB</t>
  </si>
  <si>
    <t>Xiaomi Redmi 9A 4/64GB</t>
  </si>
  <si>
    <t>Xiaomi Redmi A5 3/64GB</t>
  </si>
  <si>
    <t>Xiaomi Redmi A5 4/128GB</t>
  </si>
  <si>
    <t>Xiaomi Redmi Note 13R 12/256GB</t>
  </si>
  <si>
    <t>Xiaomi Redmi Note 14 6/128GB</t>
  </si>
  <si>
    <t>Xiaomi Redmi Note 14 8/256GB</t>
  </si>
  <si>
    <t>Xiaomi Redmi Note 14 Pro 8/256GB</t>
  </si>
  <si>
    <t>Xiaomi Redmi Note 15 6/128GB</t>
  </si>
  <si>
    <t>Xiaomi Redmi Note 15 8/256GB</t>
  </si>
  <si>
    <t>Xiaomi Redmi Note 15 Pro 8/256GB</t>
  </si>
  <si>
    <t>Xiaomi Redmi Note 15 Pro+ 5G 12/512GB</t>
  </si>
  <si>
    <t>Xiaomi Redmi Pad 2 Pro Wi-Fi 6/128GB</t>
  </si>
  <si>
    <t>Xtreme GOLON-RX-1888BT</t>
  </si>
  <si>
    <t>ZESE ZS102 500Ват (555Ват/год)</t>
  </si>
  <si>
    <t>ZESE</t>
  </si>
  <si>
    <t>ZTE Blade A36 2/64GB</t>
  </si>
  <si>
    <t>ZTE</t>
  </si>
  <si>
    <t>ZTE Blade A36 4/64GB</t>
  </si>
  <si>
    <t>ZTE Blade A56 4/128GB</t>
  </si>
  <si>
    <t>xdobo x8 III</t>
  </si>
  <si>
    <t>Xdobo</t>
  </si>
  <si>
    <t>Смарт Amazon Echo Dot (4gen, 2020)</t>
  </si>
  <si>
    <t>Amazon</t>
  </si>
  <si>
    <t>Позначки рядків</t>
  </si>
  <si>
    <t>Загальний підсумок</t>
  </si>
  <si>
    <t>Сума з reviews_count</t>
  </si>
  <si>
    <t>wv_rating_raw2</t>
  </si>
  <si>
    <t>wv_rating_smoothed2</t>
  </si>
  <si>
    <t>wv_final_score__balanced2</t>
  </si>
  <si>
    <t>Сума з rating_raw_w</t>
  </si>
  <si>
    <t>Сума з rating_smoothed_w</t>
  </si>
  <si>
    <t>Сума з rating_score_balanced_w</t>
  </si>
  <si>
    <t>Archos T101 HD Plus 10.1" 2/32Gb (ACT101HDP)</t>
  </si>
  <si>
    <t>BLUETTI AC2P 230.4Wh | 300W</t>
  </si>
  <si>
    <t>EcoFlow River 2 300W LiFePO4 256 Вт.Год</t>
  </si>
  <si>
    <t>EcoFlow River 3 600W LiFePO4 245 Вт.Год</t>
  </si>
  <si>
    <t>Reca AST-311R 3Втx2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</si>
</sst>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Звичайний" xfId="0" builtinId="0"/>
  </cellStyles>
  <dxfs count="335"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hii" refreshedDate="46088.40046527778" createdVersion="8" refreshedVersion="8" minRefreshableVersion="3" recordCount="302" xr:uid="{0AB703BD-1773-4761-8550-2E24C0947AB0}">
  <cacheSource type="worksheet">
    <worksheetSource name="products_final_scores_scenarios"/>
  </cacheSource>
  <cacheFields count="18">
    <cacheField name="sku" numFmtId="4">
      <sharedItems count="308">
        <s v="2E SoundXBlock 20W"/>
        <s v="2E SoundXPill 30W"/>
        <s v="2E SoundXTube 30W"/>
        <s v="2E SoundXTube Plus 40W"/>
        <s v="ANIMAL"/>
        <s v="ARIYUAN A5 / 500 Вт / 520 Вт⋅год / Li-ion"/>
        <s v="AXXIS Bluetooth, PowerBank 5000mA, сонячна батарея"/>
        <s v="Allpowers Volix P300 / 300 Вт / 256 Вт⋅год / LiFePO4 (ALLP_VOLIX_P300)"/>
        <s v="Anker PowerHouse 535 (500W/512Wh)"/>
        <s v="Anker Solix C1000X / 1800 Вт / 1056 Вт⋅год / LiFePO4 (A1761311/A17613Z1)"/>
        <s v="Anker Solix F1500 / 1842 Вт / 1536 Вт⋅год / LiFePO4 (A1772311)"/>
        <s v="Anker Solix F2000 2048Wh 2300W (A1780311)"/>
        <s v="Anker SoundCore 2 Black"/>
        <s v="Apple iPad 11&quot; 2025 Wi-Fi 128GB"/>
        <s v="Apple iPad Air 11&quot; M3 2025 Wi-Fi 128GB"/>
        <s v="Apple iPad Air 11&quot; M3 2025 Wi-Fi 256GB"/>
        <s v="Apple iPad Pro 11&quot; M5 2025 Wi-Fi 256GB"/>
        <s v="Apple iPad Pro 11&quot; M5 2025 Wi-Fi 512GB"/>
        <s v="Apple iPhone 15 128GB"/>
        <s v="Apple iPhone 15 256GB"/>
        <s v="Apple iPhone 16 128GB"/>
        <s v="Apple iPhone 16 Plus 128GB"/>
        <s v="Apple iPhone 16 Plus 256GB"/>
        <s v="Apple iPhone 17 256GB"/>
        <s v="Apple iPhone 17 Pro 256GB"/>
        <s v="Apple iPhone 17 Pro Max 256GB"/>
        <s v="Apple iPhone 17 Pro Max 512GB"/>
        <s v="Apple iPhone Air 256GB"/>
        <s v="Apple iPhone Air 512GB"/>
        <s v="Archos T101 HD Plus 10.1&quot; 2/32Gb (ACT101HDP)"/>
        <s v="BLUETTI AC180P 1440Wh | 1800W"/>
        <s v="BLUETTI AC200L 2048Wh | 2400W"/>
        <s v="BLUETTI AC2P 230.4Wh | 300W"/>
        <s v="BLUETTI AC70 768Wh | 1000W"/>
        <s v="BOROFONE BR16"/>
        <s v="BOROFONE BR17"/>
        <s v="BOROFONE BR21"/>
        <s v="BOROFONE BR3"/>
        <s v="Bang &amp; Olufsen BeoSound A1 2nd Gen Black Anthracite (1734002)"/>
        <s v="Bang &amp; Olufsen BeoSound Explore Green"/>
        <s v="Bang &amp; Olufsen Beolit 20 Grey Mist (1253303)"/>
        <s v="Blackview Active 10 Pro 5G 12/512GB"/>
        <s v="Bluetti AC300 + Додаткова батарея B500K / 3000 Вт / 5120 Вт⋅год / LiFePO4 (3000W AC300+B500K)"/>
        <s v="Bluetti AC70P / 1000 Вт / 864 Вт⋅год / LiFePO4 (PB931378)"/>
        <s v="Bluetti EB3A 600W 268Wh"/>
        <s v="Bluetti Elite 10 / 200 Вт / 128 Вт⋅год / LiFePO4 (P-EL10-EU-GY-BL-010)"/>
        <s v="Borofone BR18"/>
        <s v="CTECHI GT200 300Вт(200Вт) 240 Вт*Г(англійська версія)"/>
        <s v="CTECHI GT200 PRO 320 Вт*Г 240 Вт(англійська версія)"/>
        <s v="DaranEner NEOZ, акумулятор LiFePO4 потужністю 300 Вт"/>
        <s v="Doogee Tab E3 LTE 8/256GB"/>
        <s v="ECOFLOW Delta 2 MAX EU 2400 Вт / 4800 Вт/ 2048 Вт-год"/>
        <s v="EcoFlow DELTA 2 1024Wh | 1800W"/>
        <s v="EcoFlow DELTA 3 EU / 1800 Вт / 1024 Вт⋅год / LiFePO4 (EFDELTA3-EU)"/>
        <s v="EcoFlow DELTA 3 Plus / 1800 Вт / 1024 Вт⋅год / LiFePO4 (EFDELTA3P-EU)"/>
        <s v="EcoFlow DELTA Pro (3600 Вт·год / 3600 Вт)"/>
        <s v="EcoFlow DELTA Pro 3 (4096 Вт·год / 4000 Вт)"/>
        <s v="EcoFlow Delta 2 1800Вт (1024 Вт/ч)"/>
        <s v="EcoFlow RIVER 2 Max 500 Вт 512 Вт/год"/>
        <s v="EcoFlow RIVER 2 Pro 768Wh | 800W (ZMR620-B-EU)"/>
        <s v="EcoFlow RIVER 3 UPS 245Wh | 300W (EFRIVER3-UPS-EU-CBox)"/>
        <s v="EcoFlow River 2"/>
        <s v="EcoFlow River 2 300W LiFePO4 256 Вт.Год"/>
        <s v="EcoFlow River 3 600W LiFePO4 245 Вт.Год"/>
        <s v="EcoFlow River 3 Plus 600Вт, 286 Вт/год"/>
        <s v="EcoFlow TRAIL 200 DC 60000 mAh 192Wh LiFePO4"/>
        <s v="Ecoflow Delta 3 1500 / 1800 Вт / 1536 Вт⋅год / LiFePO4 (EFDELTA1500-EU)"/>
        <s v="FlashFish P60 потужністю 560 Вт, сонячний генератор 520 Вт·год/140400 мАг"/>
        <s v="Fossibot F2400 2400 Вт / 2048 Вт⋅год / LiFePO4 (9007312194749)"/>
        <s v="Godwin QX3600/3600W"/>
        <s v="Golon (RX-1829BT)"/>
        <s v="HMD 2660 4G Flip DS"/>
        <s v="HMD Pulse 4/64GB"/>
        <s v="HMD Pulse Pro 8/256GB"/>
        <s v="HOCO BS52"/>
        <s v="HOCO Dancer Outdoor Wireless Speaker BS37"/>
        <s v="HOCO HC1"/>
        <s v="HOCO Mature outdoor BT speaker BS46"/>
        <s v="HOCO wireless speaker BS40"/>
        <s v="HOPESTAR A20 PRO"/>
        <s v="HOPESTAR Party 100"/>
        <s v="Hoco BS30"/>
        <s v="Hoco BS33 Voice Black (721044) [53926]"/>
        <s v="Hoco BS45"/>
        <s v="Hoco HC11 із ліхтариком Bora"/>
        <s v="Hoco HC3 &quot;Bounce&quot; 5W*2"/>
        <s v="Hoco HC7 Pleasant sports"/>
        <s v="Hoco HC8 Pulsating"/>
        <s v="Hoco HC9 Dazzling"/>
        <s v="Hoco Portable Speaker BS47"/>
        <s v="Hopestar A30 55W"/>
        <s v="Hopestar A6 Pro 45Вт"/>
        <s v="Hopestar A6X"/>
        <s v="Hopestar H20"/>
        <s v="Hopestar H24"/>
        <s v="Hopestar H24 Original 10W"/>
        <s v="Hopestar H39"/>
        <s v="Hopestar H50"/>
        <s v="Hopestar Hopestar H37"/>
        <s v="Hopestar P32"/>
        <s v="Infinix GT 30 Pro 12/256GB"/>
        <s v="Infinix HOT 50 8/128GB"/>
        <s v="Infinix HOT 50 8/256GB"/>
        <s v="Infinix HOT 50 Pro 8/256GB"/>
        <s v="Infinix HOT 60 Pro 8/128GB"/>
        <s v="Infinix HOT 60 Pro 8/256GB"/>
        <s v="Infinix HOT 60i 4/128GB"/>
        <s v="Infinix HOT 60i 8/256GB"/>
        <s v="Infinix Note 50 8/256GB"/>
        <s v="Infinix Note 50 Pro 12/256GB"/>
        <s v="Infinix SMART 10 4/128GB"/>
        <s v="JBL Boombox 3 (JBLBOOMBOX3BLKEP)"/>
        <s v="JBL Charge 5 (JBLCHARGE5TEAL)"/>
        <s v="JBL Clip 4 (JBLCLIP4BLU)"/>
        <s v="JBL Flip 5 (JBLFLIP5BLKEU)"/>
        <s v="JBL Flip 6 (JBLFLIP6SQUAD) [69512]"/>
        <s v="JBL Flip Essential 2 (JBLFLIPES2)"/>
        <s v="JBL Go 3 (JBLGO3BLUP)"/>
        <s v="JBL Xtreme 3 (JBLXTREME3CAMOEU)"/>
        <s v="Lenovo Idea Tab Plus Wi-Fi 8/256GB"/>
        <s v="Lenovo Idea Tab Pro 8/256GB"/>
        <s v="Lenovo Idea Tab Pro Wi-Fi 12/256GB"/>
        <s v="Lenovo Idea Tab Wi-Fi 8/128GB"/>
        <s v="Lenovo Legion Tab (3rd Gen) Wi-Fi 16/512GB"/>
        <s v="Lenovo Tab K11 Plus TB352FU Wi-Fi 8/256GB"/>
        <s v="Lenovo Tab K11 Plus TB352XU LTE 8/256GB"/>
        <s v="Lenovo Tab M11 8/128Gb WiFi"/>
        <s v="Lenovo Tab One Wi-Fi 4/128GB"/>
        <s v="Lenovo Tab Plus Wi-Fi 8/256GB"/>
        <s v="Lenovo Tab Wi-Fi 8/128GB"/>
        <s v="Lenovo Yoga Tab 11 Wi-Fi 12/256GB"/>
        <s v="Lenovo Yoga Tab 11 Wi-Fi 8/256GB"/>
        <s v="Lenovo Yoga Tab Plus Wi-Fi 16/256GB"/>
        <s v="Marshall Emberton Black (1001908)"/>
        <s v="Marshall Willen Black and Brass (1006059)"/>
        <s v="Marstek Venus-E / 2500 Вт / 5120 Вт⋅год / LiFePO4"/>
        <s v="Maxcom MM244"/>
        <s v="Maxcom MM35D"/>
        <s v="Maxcom MM426"/>
        <s v="Mimi Friends Зефірка"/>
        <s v="Miniphone SERVO B25"/>
        <s v="Motorola Edge 50 Fusion 8/128GB"/>
        <s v="Motorola Edge 50 Fusion 8/256GB"/>
        <s v="Motorola Edge 60 12/256GB"/>
        <s v="Motorola Edge 60 Fusion 8/256GB"/>
        <s v="Motorola Edge 60 Pro 12/512GB"/>
        <s v="Motorola Edge 60 Pro 8/256GB"/>
        <s v="Motorola Edge 70 12/512GB PANTONE"/>
        <s v="Motorola G06 4/256GB PANTONE"/>
        <s v="Motorola G06 4/64GB PANTONE"/>
        <s v="Motorola G86 5G 8/256GB"/>
        <s v="Motorola Moto G06 Power 4/256GB"/>
        <s v="Motorola Moto G57 Power 8/256GB"/>
        <s v="Nokia 105 DS 2023"/>
        <s v="Nokia 105 DS 2024"/>
        <s v="Nokia 105 SS 2023"/>
        <s v="Nokia 106 DS 2023"/>
        <s v="Nokia 110 DS 2024"/>
        <s v="Nokia 130 DS 2023"/>
        <s v="Nokia 150 DS 2023"/>
        <s v="Nokia 215 4G (2024)"/>
        <s v="Nokia 235 4G (2024)"/>
        <s v="Nomi i1880"/>
        <s v="Nomi i2403"/>
        <s v="Nomi i2440"/>
        <s v="Nubia Neo 3 5G 8/256GB"/>
        <s v="Nubia Neo 3 GT 5G 12/256GB"/>
        <s v="Nubia V70 8/256GB"/>
        <s v="Nubia V70 Design 8/256GB"/>
        <s v="Nubia V70 Max 6/128GB"/>
        <s v="OPPO Reno 12 FS 8/512GB"/>
        <s v="OPPO Reno13 12/256GB"/>
        <s v="OSCAL Pad 50"/>
        <s v="OnePlus Nord 3 5G (CPH2493) 16/256GB"/>
        <s v="OnePlus Nord 3 5G (CPH2493) 8/128GB"/>
        <s v="OnePlus Nord 4 16/512GB"/>
        <s v="Oscal Pad 100 LTE 8/256GB"/>
        <s v="Oscal Pad 13 LTE 8/256GB"/>
        <s v="Oscal Pad 50 Wi-Fi 2/64GB"/>
        <s v="Oscal Pad 70 Wi-Fi 4/128GB"/>
        <s v="Oukitel RT6 8/256GB 4G Dual Sim"/>
        <s v="Oukitel RT7 12Gb/512Gb 32000mAh"/>
        <s v="Oukitel RT7 8Gb/256Gb 32000mAh"/>
        <s v="Oukitel WP19pro 8/256GB"/>
        <s v="Panasonic KX-TU110"/>
        <s v="Panasonic KX-TU550"/>
        <s v="Pixus Combo LTE 8/256GB"/>
        <s v="Pixus Titan LTE 8/256GB"/>
        <s v="Poco C85 6/128GB"/>
        <s v="Poco C85 8/256GB"/>
        <s v="Poco F8 Pro 12/256GB"/>
        <s v="Poco M8 5G 8/256GB"/>
        <s v="Poco M8 5G 8/512GB"/>
        <s v="REAL-EL X-747 Black"/>
        <s v="Realme 15T 12/256GB"/>
        <s v="Realme 15T 8/256GB"/>
        <s v="Realme C71 6/128GB"/>
        <s v="Realme C71 8/256GB"/>
        <s v="Realme C75 8/128GB"/>
        <s v="Realme C75 8/256GB"/>
        <s v="Realme Note 70 4/128GB"/>
        <s v="Reca AST-311B"/>
        <s v="Reca AST-311BL"/>
        <s v="Reca AST-311R 3Втx2 5.0"/>
        <s v="S&amp;O LAB G1200 BYD, 1200Вт, Wi-fi App, 1024 Вт⋅год, LiFePO4"/>
        <s v="Samsung Galaxy A07 4/128GB"/>
        <s v="Samsung Galaxy A16 4/128GB"/>
        <s v="Samsung Galaxy A17 4/128GB"/>
        <s v="Samsung Galaxy A17 8/256GB"/>
        <s v="Samsung Galaxy A26 5G 6/128GB"/>
        <s v="Samsung Galaxy A26 5G 8/256GB"/>
        <s v="Samsung Galaxy A36 5G 6/128GB"/>
        <s v="Samsung Galaxy A36 5G 8/256GB"/>
        <s v="Samsung Galaxy A56 5G 8/128GB"/>
        <s v="Samsung Galaxy A56 5G 8/256GB"/>
        <s v="Samsung Galaxy Flip 7 12/256GB"/>
        <s v="Samsung Galaxy Flip 7 12/512GB"/>
        <s v="Samsung Galaxy Flip 7 FE 8/128GB"/>
        <s v="Samsung Galaxy Fold 7 12/256GB"/>
        <s v="Samsung Galaxy S25 12/256GB"/>
        <s v="Samsung Galaxy S25 12/512GB"/>
        <s v="Samsung Galaxy S25 FE 5G 8/128GB"/>
        <s v="Samsung Galaxy S25 FE 5G 8/256GB"/>
        <s v="Samsung Galaxy S25 FE 5G 8/512GB"/>
        <s v="Samsung Galaxy S25 Ultra 12/256GB"/>
        <s v="Samsung Galaxy S25 Ultra 12/512GB"/>
        <s v="Samsung Galaxy S25 Ultra 12GB/1TB"/>
        <s v="Samsung Galaxy Tab A11 LTE 4/64GB"/>
        <s v="Samsung Galaxy Tab A11 Plus 5G 8/256GB"/>
        <s v="Samsung Galaxy Tab A11 Plus Wi-Fi 8/256GB"/>
        <s v="Samsung Galaxy Tab A11 Wi-Fi 4/64GB"/>
        <s v="Samsung Galaxy Tab Active5 Wi-Fi 6/128GB"/>
        <s v="Samsung Galaxy Tab S10 FE 5G 8/128GB"/>
        <s v="Samsung Galaxy Tab S10 FE Wi-Fi 8/128GB"/>
        <s v="Samsung Galaxy Tab S10 FE+ 5G 8/128GB"/>
        <s v="Samsung Galaxy Tab S10 FE+ Wi-Fi 8/128GB"/>
        <s v="Samsung Galaxy Tab S10 Lite 5G 6/128GB"/>
        <s v="Samsung Galaxy Tab S10 Lite Wi-Fi 6/128GB"/>
        <s v="Samsung Galaxy Tab S11 5G 12/256GB"/>
        <s v="Sigma mobile Comfort 50 Easy"/>
        <s v="Sigma mobile Comfort 50 HIT2020"/>
        <s v="Sigma mobile Comfort 50 Optima"/>
        <s v="Sigma mobile Comfort 50 Shell DUO"/>
        <s v="Sigma mobile Tab A1035 Basic LTE 6/128GB"/>
        <s v="Sigma mobile X-Style 31 Power"/>
        <s v="Sigma mobile X-Style 34 NRG"/>
        <s v="Sigma mobile X-style 171 Mini"/>
        <s v="Sigma mobile X-style 18 Track"/>
        <s v="Sigma mobile X-style 242 LUCKY"/>
        <s v="Sigma mobile X-style 281 Clik"/>
        <s v="Sigma mobile X-style 310 Force"/>
        <s v="Sigma mobile X-style 341 Bro"/>
        <s v="Sigma mobile X-style 353 Trend"/>
        <s v="Sigma mobile X-treme PA68"/>
        <s v="Sigma mobile X-treme PK68"/>
        <s v="Sigma mobile X-treme PQ55"/>
        <s v="Sigma mobile X-treme PQ57 6/256GB"/>
        <s v="Sigma mobile X-treme PQ58 12/256GB"/>
        <s v="Sigma mobile X-treme PR68"/>
        <s v="Sigma mobile X-treme PV68"/>
        <s v="Sigma mobile X-treme PV69"/>
        <s v="Sony SRS-XB13"/>
        <s v="T &amp; G 117"/>
        <s v="Teclast M50 (8/128) LTE"/>
        <s v="Teclast P50AI (6/128) WiFi"/>
        <s v="Teclast T65 Plus (8/256) LTE"/>
        <s v="Tecno Spark 40 (KM5n) 8/256GB"/>
        <s v="Tecno Spark 40C (KM4k) 4/128GB"/>
        <s v="Tecno Spark Go 2 (KM4) 3/64GB"/>
        <s v="Tronsmart Element Splash1 Speaker"/>
        <s v="Ulefone Armor 24 12/256GB"/>
        <s v="Ulefone Armor MINI 3 (IP68)"/>
        <s v="V-TAC VT-303N / 300 Вт / 288 Вт⋅год / LiFePO4 (YT38057)"/>
        <s v="Xiaomi 15 12/256GB"/>
        <s v="Xiaomi 15T 12/256GB"/>
        <s v="Xiaomi 15T 12/512GB"/>
        <s v="Xiaomi 15T Pro 12/256GB"/>
        <s v="Xiaomi Redmi 13x 8/256GB"/>
        <s v="Xiaomi Redmi 14C 4/128GB"/>
        <s v="Xiaomi Redmi 15 6/128GB"/>
        <s v="Xiaomi Redmi 15 8/256GB"/>
        <s v="Xiaomi Redmi 15C 4/128GB"/>
        <s v="Xiaomi Redmi 15C 8/256GB"/>
        <s v="Xiaomi Redmi 9A 4/64GB"/>
        <s v="Xiaomi Redmi A5 3/64GB"/>
        <s v="Xiaomi Redmi A5 4/128GB"/>
        <s v="Xiaomi Redmi Note 13R 12/256GB"/>
        <s v="Xiaomi Redmi Note 14 6/128GB"/>
        <s v="Xiaomi Redmi Note 14 8/256GB"/>
        <s v="Xiaomi Redmi Note 14 Pro 8/256GB"/>
        <s v="Xiaomi Redmi Note 15 6/128GB"/>
        <s v="Xiaomi Redmi Note 15 8/256GB"/>
        <s v="Xiaomi Redmi Note 15 Pro 8/256GB"/>
        <s v="Xiaomi Redmi Note 15 Pro+ 5G 12/512GB"/>
        <s v="Xiaomi Redmi Pad 2 Pro Wi-Fi 6/128GB"/>
        <s v="Xtreme GOLON-RX-1888BT"/>
        <s v="ZESE ZS102 500Ват (555Ват/год)"/>
        <s v="ZTE Blade A36 2/64GB"/>
        <s v="ZTE Blade A36 4/64GB"/>
        <s v="ZTE Blade A56 4/128GB"/>
        <s v="xdobo x8 III"/>
        <s v="Смарт Amazon Echo Dot (4gen, 2020)"/>
        <s v="Internal server error Error code 500" u="1"/>
        <s v="Archos T101 HD Plus 10,1&quot; 2/32Gb (ACT101HDP)" u="1"/>
        <s v="BLUETTI AC2P 230,4Wh | 300W" u="1"/>
        <s v="EcoFlow River 2 300W LiFePO4 256 Вт,Год" u="1"/>
        <s v="EcoFlow River 3 600W LiFePO4 245 Вт,Год" u="1"/>
        <s v="Reca AST-311R 3Втx2 5,0" u="1"/>
      </sharedItems>
    </cacheField>
    <cacheField name="brand" numFmtId="4">
      <sharedItems count="61">
        <s v="2E"/>
        <s v="Animal"/>
        <s v="ARIYUAN"/>
        <s v="Axxis"/>
        <s v="Allpowers"/>
        <s v="Anker"/>
        <s v="Apple"/>
        <s v="Archos"/>
        <s v="Bluetti"/>
        <s v="Borofone"/>
        <s v="Bang &amp; Olufsen"/>
        <s v="Blackview"/>
        <s v="CTECHi"/>
        <s v="Daranener"/>
        <s v="Doogee"/>
        <s v="EcoFlow"/>
        <s v="Flashfish"/>
        <s v="Fossibot"/>
        <s v="Godwin"/>
        <s v="Golon"/>
        <s v="HMD"/>
        <s v="Hoco"/>
        <s v="Hopestar"/>
        <s v="Infinix"/>
        <s v="JBL"/>
        <s v="Lenovo"/>
        <s v="Marshall"/>
        <s v="Marstek"/>
        <s v="Maxcom"/>
        <s v="Mimifriends"/>
        <s v="Servo"/>
        <s v="Motorola"/>
        <s v="Nokia"/>
        <s v="Nomi"/>
        <s v="Nubia"/>
        <s v="OPPO"/>
        <s v="Oscal"/>
        <s v="OnePlus"/>
        <s v="Oukitel"/>
        <s v="Panasonic"/>
        <s v="Pixus"/>
        <s v="Poco"/>
        <s v="Real-El"/>
        <s v="realme"/>
        <s v="RECA"/>
        <s v="S&amp;O LAB"/>
        <s v="Samsung"/>
        <s v="Sigma mobile"/>
        <s v="Sony"/>
        <s v="T&amp;G"/>
        <s v="Teclast"/>
        <s v="Tecno"/>
        <s v="Tronsmart"/>
        <s v="Ulefone"/>
        <s v="V-TAC"/>
        <s v="Xiaomi"/>
        <s v="ZESE"/>
        <s v="ZTE"/>
        <s v="Xdobo"/>
        <s v="Amazon"/>
        <s v="Internal" u="1"/>
      </sharedItems>
    </cacheField>
    <cacheField name="category_id" numFmtId="4">
      <sharedItems containsSemiMixedTypes="0" containsString="0" containsNumber="1" containsInteger="1" minValue="4" maxValue="314"/>
    </cacheField>
    <cacheField name="category_name" numFmtId="4">
      <sharedItems count="4">
        <s v="Портативні колонки"/>
        <s v="Зарядні станції"/>
        <s v="Планшети"/>
        <s v="Смартфони"/>
      </sharedItems>
    </cacheField>
    <cacheField name="reviews_count" numFmtId="4">
      <sharedItems containsSemiMixedTypes="0" containsString="0" containsNumber="1" containsInteger="1" minValue="1" maxValue="809"/>
    </cacheField>
    <cacheField name="rating_raw" numFmtId="4">
      <sharedItems containsSemiMixedTypes="0" containsString="0" containsNumber="1" minValue="1" maxValue="5"/>
    </cacheField>
    <cacheField name="rating_smoothed" numFmtId="4">
      <sharedItems containsSemiMixedTypes="0" containsString="0" containsNumber="1" minValue="3.2552734673388701" maxValue="4.8337134951202101"/>
    </cacheField>
    <cacheField name="base_score" numFmtId="4">
      <sharedItems containsSemiMixedTypes="0" containsString="0" containsNumber="1" minValue="3.2552734673388701" maxValue="4.8337134951202101"/>
    </cacheField>
    <cacheField name="final_score__soft" numFmtId="4">
      <sharedItems containsSemiMixedTypes="0" containsString="0" containsNumber="1" minValue="3.0975911012421098" maxValue="4.7636966666974203"/>
    </cacheField>
    <cacheField name="final_score__balanced" numFmtId="4">
      <sharedItems containsSemiMixedTypes="0" containsString="0" containsNumber="1" minValue="2.87601530875585" maxValue="4.7324741261472303"/>
    </cacheField>
    <cacheField name="final_score__strict" numFmtId="4">
      <sharedItems containsSemiMixedTypes="0" containsString="0" containsNumber="1" minValue="2.4309254560317699" maxValue="4.7324741261472303"/>
    </cacheField>
    <cacheField name="final_score__very_strict" numFmtId="4">
      <sharedItems containsSemiMixedTypes="0" containsString="0" containsNumber="1" minValue="1.97091898126983" maxValue="4.7324741261472303"/>
    </cacheField>
    <cacheField name="wv_rating_raw2" numFmtId="0">
      <sharedItems containsSemiMixedTypes="0" containsString="0" containsNumber="1" minValue="1" maxValue="3661.9999999999977"/>
    </cacheField>
    <cacheField name="wv_rating_smoothed2" numFmtId="0">
      <sharedItems containsSemiMixedTypes="0" containsString="0" containsNumber="1" minValue="4.3823671264589503" maxValue="3662.4861702188268"/>
    </cacheField>
    <cacheField name="wv_final_score__balanced2" numFmtId="0">
      <sharedItems containsSemiMixedTypes="0" containsString="0" containsNumber="1" minValue="4.3408932663617401" maxValue="3625.5623972853546"/>
    </cacheField>
    <cacheField name="rating_raw_w" numFmtId="0" formula="wv_rating_raw2/SUM(reviews_count)" databaseField="0"/>
    <cacheField name="rating_smoothed_w" numFmtId="0" formula="wv_rating_smoothed2/SUM(reviews_count)" databaseField="0"/>
    <cacheField name="rating_score_balanced_w" numFmtId="0" formula="wv_final_score__balanced2/SUM(reviews_count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x v="0"/>
    <n v="76"/>
    <x v="0"/>
    <n v="241"/>
    <n v="4.7966804979253101"/>
    <n v="4.7753604158670502"/>
    <n v="4.7753604158670502"/>
    <n v="4.7459305860814398"/>
    <n v="4.6947838540654603"/>
    <n v="4.5354475558145797"/>
    <n v="4.3462737870280197"/>
    <n v="1155.9999999999998"/>
    <n v="1150.8618602239592"/>
    <n v="1131.4429088297759"/>
  </r>
  <r>
    <x v="1"/>
    <x v="0"/>
    <n v="76"/>
    <x v="0"/>
    <n v="6"/>
    <n v="3.6666666666666599"/>
    <n v="4.3218872515884801"/>
    <n v="4.3218872515884801"/>
    <n v="4.3218872515884801"/>
    <n v="4.3218872515884801"/>
    <n v="4.3218872515884801"/>
    <n v="4.3218872515884801"/>
    <n v="21.999999999999957"/>
    <n v="25.931323509530881"/>
    <n v="25.931323509530881"/>
  </r>
  <r>
    <x v="2"/>
    <x v="0"/>
    <n v="76"/>
    <x v="0"/>
    <n v="448"/>
    <n v="4.3459821428571397"/>
    <n v="4.3533527105583296"/>
    <n v="4.3533527105583296"/>
    <n v="4.2729104078150497"/>
    <n v="4.1487393820644396"/>
    <n v="3.8464686650445299"/>
    <n v="3.5151192981266801"/>
    <n v="1946.9999999999986"/>
    <n v="1950.3020143301317"/>
    <n v="1858.6352431648688"/>
  </r>
  <r>
    <x v="3"/>
    <x v="0"/>
    <n v="76"/>
    <x v="0"/>
    <n v="43"/>
    <n v="4.1395348837209296"/>
    <n v="4.2598264847825398"/>
    <n v="4.2598264847825398"/>
    <n v="4.1987949451055204"/>
    <n v="4.1001415270069996"/>
    <n v="3.8400025409346998"/>
    <n v="3.5453184616861502"/>
    <n v="177.99999999999997"/>
    <n v="183.1725388456492"/>
    <n v="176.30608566130098"/>
  </r>
  <r>
    <x v="4"/>
    <x v="1"/>
    <n v="76"/>
    <x v="0"/>
    <n v="20"/>
    <n v="5"/>
    <n v="4.7592267135325104"/>
    <n v="4.7592267135325104"/>
    <n v="4.6812525743876297"/>
    <n v="4.5575476414086804"/>
    <n v="4.24903406504977"/>
    <n v="3.9032973940206701"/>
    <n v="100"/>
    <n v="95.184534270650204"/>
    <n v="91.150952828173615"/>
  </r>
  <r>
    <x v="5"/>
    <x v="2"/>
    <n v="4"/>
    <x v="1"/>
    <n v="12"/>
    <n v="4.1666666666666599"/>
    <n v="4.4071784267386898"/>
    <n v="4.4071784267386898"/>
    <n v="4.3274296801486001"/>
    <n v="4.2163825492579798"/>
    <n v="3.9635160493381898"/>
    <n v="3.8519607517078298"/>
    <n v="49.999999999999915"/>
    <n v="52.886141120864281"/>
    <n v="50.596590591095762"/>
  </r>
  <r>
    <x v="6"/>
    <x v="3"/>
    <n v="76"/>
    <x v="0"/>
    <n v="4"/>
    <n v="5"/>
    <n v="4.5987111892208503"/>
    <n v="4.5987111892208503"/>
    <n v="4.3587111892208501"/>
    <n v="3.9587111892208502"/>
    <n v="3.29871118922085"/>
    <n v="3.23871118922085"/>
    <n v="20"/>
    <n v="18.394844756883401"/>
    <n v="15.834844756883401"/>
  </r>
  <r>
    <x v="7"/>
    <x v="4"/>
    <n v="4"/>
    <x v="1"/>
    <n v="2"/>
    <n v="5"/>
    <n v="4.5922595298017299"/>
    <n v="4.5922595298017299"/>
    <n v="4.5922595298017299"/>
    <n v="4.5922595298017299"/>
    <n v="4.5922595298017299"/>
    <n v="4.5922595298017299"/>
    <n v="10"/>
    <n v="9.1845190596034598"/>
    <n v="9.1845190596034598"/>
  </r>
  <r>
    <x v="8"/>
    <x v="5"/>
    <n v="4"/>
    <x v="1"/>
    <n v="148"/>
    <n v="4.3716216216216202"/>
    <n v="4.3930339860454604"/>
    <n v="4.3930339860454604"/>
    <n v="4.3046497275511397"/>
    <n v="4.1700007076629797"/>
    <n v="3.8506473934644201"/>
    <n v="3.5036043711471598"/>
    <n v="646.99999999999977"/>
    <n v="650.16902993472809"/>
    <n v="617.16010473412098"/>
  </r>
  <r>
    <x v="9"/>
    <x v="5"/>
    <n v="4"/>
    <x v="1"/>
    <n v="67"/>
    <n v="4.5970149253731298"/>
    <n v="4.5865483868464096"/>
    <n v="4.5865483868464096"/>
    <n v="4.4597117390065"/>
    <n v="4.2716709289844701"/>
    <n v="3.8622592917187601"/>
    <n v="3.4234871800532898"/>
    <n v="307.99999999999972"/>
    <n v="307.29874191870942"/>
    <n v="286.20195224195948"/>
  </r>
  <r>
    <x v="10"/>
    <x v="5"/>
    <n v="4"/>
    <x v="1"/>
    <n v="4"/>
    <n v="4.5"/>
    <n v="4.5429045689849197"/>
    <n v="4.5429045689849197"/>
    <n v="4.5429045689849197"/>
    <n v="4.5429045689849197"/>
    <n v="4.5429045689849197"/>
    <n v="4.5429045689849197"/>
    <n v="18"/>
    <n v="18.171618275939679"/>
    <n v="18.171618275939679"/>
  </r>
  <r>
    <x v="11"/>
    <x v="5"/>
    <n v="4"/>
    <x v="1"/>
    <n v="308"/>
    <n v="4.5194805194805197"/>
    <n v="4.52143204163304"/>
    <n v="4.52143204163304"/>
    <n v="4.50980423493694"/>
    <n v="4.4866193979778402"/>
    <n v="4.3958869097253404"/>
    <n v="4.2757145297050796"/>
    <n v="1392"/>
    <n v="1392.6010688229762"/>
    <n v="1381.8787745771747"/>
  </r>
  <r>
    <x v="12"/>
    <x v="5"/>
    <n v="76"/>
    <x v="0"/>
    <n v="11"/>
    <n v="4.9090909090909003"/>
    <n v="4.6570667271387203"/>
    <n v="4.6570667271387203"/>
    <n v="4.5629813496608103"/>
    <n v="4.4153256223580399"/>
    <n v="4.0621432752844404"/>
    <n v="3.9321842915296501"/>
    <n v="53.999999999999901"/>
    <n v="51.22773399852592"/>
    <n v="48.568581845938439"/>
  </r>
  <r>
    <x v="13"/>
    <x v="6"/>
    <n v="225"/>
    <x v="2"/>
    <n v="114"/>
    <n v="4.70175438596491"/>
    <n v="4.6787842963400799"/>
    <n v="4.6787842963400799"/>
    <n v="4.60759303030654"/>
    <n v="4.4941473025496101"/>
    <n v="4.2070854722173099"/>
    <n v="3.8845975796199199"/>
    <n v="535.99999999999977"/>
    <n v="533.38140978276908"/>
    <n v="512.33279249065561"/>
  </r>
  <r>
    <x v="14"/>
    <x v="6"/>
    <n v="225"/>
    <x v="2"/>
    <n v="10"/>
    <n v="4.5999999999999996"/>
    <n v="4.5652365236523602"/>
    <n v="4.5652365236523602"/>
    <n v="4.5652365236523602"/>
    <n v="4.5652365236523602"/>
    <n v="4.5652365236523602"/>
    <n v="4.5652365236523602"/>
    <n v="46"/>
    <n v="45.6523652365236"/>
    <n v="45.6523652365236"/>
  </r>
  <r>
    <x v="15"/>
    <x v="6"/>
    <n v="225"/>
    <x v="2"/>
    <n v="10"/>
    <n v="4.5999999999999996"/>
    <n v="4.5652365236523602"/>
    <n v="4.5652365236523602"/>
    <n v="4.5652365236523602"/>
    <n v="4.5652365236523602"/>
    <n v="4.5652365236523602"/>
    <n v="4.5652365236523602"/>
    <n v="46"/>
    <n v="45.6523652365236"/>
    <n v="45.6523652365236"/>
  </r>
  <r>
    <x v="16"/>
    <x v="6"/>
    <n v="225"/>
    <x v="2"/>
    <n v="2"/>
    <n v="5"/>
    <n v="4.5889588958895802"/>
    <n v="4.5889588958895802"/>
    <n v="4.5889588958895802"/>
    <n v="4.5889588958895802"/>
    <n v="4.5889588958895802"/>
    <n v="4.5889588958895802"/>
    <n v="10"/>
    <n v="9.1779177917791603"/>
    <n v="9.1779177917791603"/>
  </r>
  <r>
    <x v="17"/>
    <x v="6"/>
    <n v="225"/>
    <x v="2"/>
    <n v="2"/>
    <n v="5"/>
    <n v="4.5889588958895802"/>
    <n v="4.5889588958895802"/>
    <n v="4.5889588958895802"/>
    <n v="4.5889588958895802"/>
    <n v="4.5889588958895802"/>
    <n v="4.5889588958895802"/>
    <n v="10"/>
    <n v="9.1779177917791603"/>
    <n v="9.1779177917791603"/>
  </r>
  <r>
    <x v="18"/>
    <x v="6"/>
    <n v="314"/>
    <x v="3"/>
    <n v="210"/>
    <n v="4.6571428571428504"/>
    <n v="4.6413859069286802"/>
    <n v="4.6413859069286802"/>
    <n v="4.5896440725039396"/>
    <n v="4.5049039617264501"/>
    <n v="4.2739058930217997"/>
    <n v="4.0101049351687799"/>
    <n v="977.99999999999852"/>
    <n v="974.69104045502286"/>
    <n v="946.02983196255457"/>
  </r>
  <r>
    <x v="19"/>
    <x v="6"/>
    <n v="314"/>
    <x v="3"/>
    <n v="210"/>
    <n v="4.6571428571428504"/>
    <n v="4.6413859069286802"/>
    <n v="4.6413859069286802"/>
    <n v="4.5896440725039396"/>
    <n v="4.5049039617264501"/>
    <n v="4.2739058930217997"/>
    <n v="4.0101049351687799"/>
    <n v="977.99999999999852"/>
    <n v="974.69104045502286"/>
    <n v="946.02983196255457"/>
  </r>
  <r>
    <x v="20"/>
    <x v="6"/>
    <n v="314"/>
    <x v="3"/>
    <n v="196"/>
    <n v="4.8571428571428497"/>
    <n v="4.8218461045999801"/>
    <n v="4.8218461045999801"/>
    <n v="4.7504332245196199"/>
    <n v="4.6383293611161598"/>
    <n v="4.3577435366648896"/>
    <n v="4.0464364823904004"/>
    <n v="951.99999999999852"/>
    <n v="945.08183650159606"/>
    <n v="909.11255477876728"/>
  </r>
  <r>
    <x v="21"/>
    <x v="6"/>
    <n v="314"/>
    <x v="3"/>
    <n v="147"/>
    <n v="4.8571428571428497"/>
    <n v="4.8114895724167397"/>
    <n v="4.8114895724167397"/>
    <n v="4.7400766923363804"/>
    <n v="4.6279728289329203"/>
    <n v="4.3473870044816501"/>
    <n v="4.03607995020716"/>
    <n v="713.99999999999886"/>
    <n v="707.2889671452607"/>
    <n v="680.31200585313923"/>
  </r>
  <r>
    <x v="22"/>
    <x v="6"/>
    <n v="314"/>
    <x v="3"/>
    <n v="196"/>
    <n v="4.8571428571428497"/>
    <n v="4.8218461045999801"/>
    <n v="4.8218461045999801"/>
    <n v="4.7504332245196199"/>
    <n v="4.6383293611161598"/>
    <n v="4.3577435366648896"/>
    <n v="4.0464364823904004"/>
    <n v="951.99999999999852"/>
    <n v="945.08183650159606"/>
    <n v="909.11255477876728"/>
  </r>
  <r>
    <x v="23"/>
    <x v="6"/>
    <n v="314"/>
    <x v="3"/>
    <n v="28"/>
    <n v="4.8928571428571397"/>
    <n v="4.7191408040332599"/>
    <n v="4.7191408040332599"/>
    <n v="4.64861606743872"/>
    <n v="4.5390792681360796"/>
    <n v="4.2664354917649003"/>
    <n v="3.9667793798263702"/>
    <n v="136.99999999999991"/>
    <n v="132.13594251293128"/>
    <n v="127.09421950781024"/>
  </r>
  <r>
    <x v="24"/>
    <x v="6"/>
    <n v="314"/>
    <x v="3"/>
    <n v="142"/>
    <n v="4.7323943661971803"/>
    <n v="4.7007330777382501"/>
    <n v="4.7007330777382501"/>
    <n v="4.6184842407217497"/>
    <n v="4.4925187998396403"/>
    <n v="4.1907614498627304"/>
    <n v="3.8616739003302398"/>
    <n v="671.99999999999966"/>
    <n v="667.50409703883156"/>
    <n v="637.93766957722892"/>
  </r>
  <r>
    <x v="25"/>
    <x v="6"/>
    <n v="314"/>
    <x v="3"/>
    <n v="537"/>
    <n v="4.7541899441340698"/>
    <n v="4.74419884846247"/>
    <n v="4.74419884846247"/>
    <n v="4.6722143831294902"/>
    <n v="4.5610275879424602"/>
    <n v="4.2865492885482901"/>
    <n v="3.98611896830919"/>
    <n v="2552.9999999999955"/>
    <n v="2547.6347816243465"/>
    <n v="2449.2718147251012"/>
  </r>
  <r>
    <x v="26"/>
    <x v="6"/>
    <n v="314"/>
    <x v="3"/>
    <n v="71"/>
    <n v="4.7323943661971803"/>
    <n v="4.6760303142153399"/>
    <n v="4.6760303142153399"/>
    <n v="4.5937814771988403"/>
    <n v="4.4678160363167301"/>
    <n v="4.1660586863398201"/>
    <n v="3.8369711368073398"/>
    <n v="335.99999999999983"/>
    <n v="331.99815230928914"/>
    <n v="317.21493857848782"/>
  </r>
  <r>
    <x v="27"/>
    <x v="6"/>
    <n v="314"/>
    <x v="3"/>
    <n v="6"/>
    <n v="4.3333333333333304"/>
    <n v="4.4430291766767898"/>
    <n v="4.4430291766767898"/>
    <n v="4.3951799287227296"/>
    <n v="4.3285516501883698"/>
    <n v="4.1768317502364898"/>
    <n v="4.1654203391613596"/>
    <n v="25.999999999999982"/>
    <n v="26.658175060060739"/>
    <n v="25.971309901130219"/>
  </r>
  <r>
    <x v="28"/>
    <x v="6"/>
    <n v="314"/>
    <x v="3"/>
    <n v="12"/>
    <n v="4.3333333333333304"/>
    <n v="4.4224612060498902"/>
    <n v="4.4224612060498902"/>
    <n v="4.3427124594597997"/>
    <n v="4.2316653285691901"/>
    <n v="3.9787988286493898"/>
    <n v="3.8672435310190298"/>
    <n v="51.999999999999964"/>
    <n v="53.069534472598683"/>
    <n v="50.779983942830285"/>
  </r>
  <r>
    <x v="29"/>
    <x v="7"/>
    <n v="225"/>
    <x v="2"/>
    <n v="11"/>
    <n v="5"/>
    <n v="4.70829340998616"/>
    <n v="4.70829340998616"/>
    <n v="4.61420803250825"/>
    <n v="4.4665523052054699"/>
    <n v="4.1133699581318703"/>
    <n v="3.98341097437708"/>
    <n v="55"/>
    <n v="51.791227509847758"/>
    <n v="49.13207535726017"/>
  </r>
  <r>
    <x v="30"/>
    <x v="8"/>
    <n v="4"/>
    <x v="1"/>
    <n v="490"/>
    <n v="4.5204081632652997"/>
    <n v="4.5216268816777196"/>
    <n v="4.5216268816777196"/>
    <n v="4.5041169004790804"/>
    <n v="4.4712017162567301"/>
    <n v="4.3544661500602002"/>
    <n v="4.20702762044629"/>
    <n v="2214.9999999999968"/>
    <n v="2215.5971720220828"/>
    <n v="2190.888840965798"/>
  </r>
  <r>
    <x v="31"/>
    <x v="8"/>
    <n v="4"/>
    <x v="1"/>
    <n v="28"/>
    <n v="4.46428571428571"/>
    <n v="4.5006189511591197"/>
    <n v="4.5006189511591197"/>
    <n v="4.3819396568290703"/>
    <n v="4.2097886361316297"/>
    <n v="3.83804558238515"/>
    <n v="3.4467924205468798"/>
    <n v="124.99999999999989"/>
    <n v="126.01733063245536"/>
    <n v="117.87408181168563"/>
  </r>
  <r>
    <x v="32"/>
    <x v="8"/>
    <n v="4"/>
    <x v="1"/>
    <n v="2"/>
    <n v="5"/>
    <n v="4.5922595298017299"/>
    <n v="4.5922595298017299"/>
    <n v="4.5922595298017299"/>
    <n v="4.5922595298017299"/>
    <n v="4.5922595298017299"/>
    <n v="4.5922595298017299"/>
    <n v="10"/>
    <n v="9.1845190596034598"/>
    <n v="9.1845190596034598"/>
  </r>
  <r>
    <x v="33"/>
    <x v="8"/>
    <n v="4"/>
    <x v="1"/>
    <n v="227"/>
    <n v="4.3436123348017599"/>
    <n v="4.3604441686462998"/>
    <n v="4.3604441686462998"/>
    <n v="4.3497724334570398"/>
    <n v="4.3280632096059497"/>
    <n v="4.2409099277986302"/>
    <n v="4.1233721043312803"/>
    <n v="985.99999999999955"/>
    <n v="989.82082628271007"/>
    <n v="982.47034858055054"/>
  </r>
  <r>
    <x v="34"/>
    <x v="9"/>
    <n v="76"/>
    <x v="0"/>
    <n v="3"/>
    <n v="5"/>
    <n v="4.5812638496217604"/>
    <n v="4.5812638496217604"/>
    <n v="4.5812638496217604"/>
    <n v="4.5812638496217604"/>
    <n v="4.5812638496217604"/>
    <n v="4.5812638496217604"/>
    <n v="15"/>
    <n v="13.743791548865282"/>
    <n v="13.743791548865282"/>
  </r>
  <r>
    <x v="35"/>
    <x v="9"/>
    <n v="76"/>
    <x v="0"/>
    <n v="6"/>
    <n v="5"/>
    <n v="4.6295795592807902"/>
    <n v="4.6295795592807902"/>
    <n v="4.4688135399003404"/>
    <n v="4.21604815148185"/>
    <n v="3.72901541017829"/>
    <n v="3.6679143368670801"/>
    <n v="30"/>
    <n v="27.777477355684741"/>
    <n v="25.2962889088911"/>
  </r>
  <r>
    <x v="36"/>
    <x v="9"/>
    <n v="76"/>
    <x v="0"/>
    <n v="1"/>
    <n v="4"/>
    <n v="4.4937651686333497"/>
    <n v="4.4937651686333497"/>
    <n v="4.4937651686333497"/>
    <n v="4.4937651686333497"/>
    <n v="4.4937651686333497"/>
    <n v="4.4937651686333497"/>
    <n v="4"/>
    <n v="4.4937651686333497"/>
    <n v="4.4937651686333497"/>
  </r>
  <r>
    <x v="37"/>
    <x v="9"/>
    <n v="76"/>
    <x v="0"/>
    <n v="2"/>
    <n v="1"/>
    <n v="4.1985940246045601"/>
    <n v="4.1985940246045601"/>
    <n v="4.11859402460456"/>
    <n v="4.03859402460456"/>
    <n v="3.9385940246045599"/>
    <n v="3.9719273579379002"/>
    <n v="2"/>
    <n v="8.3971880492091202"/>
    <n v="8.0771880492091199"/>
  </r>
  <r>
    <x v="38"/>
    <x v="10"/>
    <n v="76"/>
    <x v="0"/>
    <n v="2"/>
    <n v="4"/>
    <n v="4.4713212973318397"/>
    <n v="4.4713212973318397"/>
    <n v="4.4284503588303901"/>
    <n v="4.3794254289320698"/>
    <n v="4.2997852689313598"/>
    <n v="4.3110437602628897"/>
    <n v="8"/>
    <n v="8.9426425946636794"/>
    <n v="8.7588508578641395"/>
  </r>
  <r>
    <x v="39"/>
    <x v="10"/>
    <n v="76"/>
    <x v="0"/>
    <n v="11"/>
    <n v="4.4545454545454497"/>
    <n v="4.4957764045580797"/>
    <n v="4.4957764045580797"/>
    <n v="4.3659028105067996"/>
    <n v="4.18712987113694"/>
    <n v="3.8182943094761002"/>
    <n v="3.7263531652338902"/>
    <n v="48.999999999999943"/>
    <n v="49.453540450138874"/>
    <n v="46.058428582506338"/>
  </r>
  <r>
    <x v="40"/>
    <x v="10"/>
    <n v="76"/>
    <x v="0"/>
    <n v="3"/>
    <n v="5"/>
    <n v="4.5812638496217604"/>
    <n v="4.5812638496217604"/>
    <n v="4.5812638496217604"/>
    <n v="4.5812638496217604"/>
    <n v="4.5812638496217604"/>
    <n v="4.5812638496217604"/>
    <n v="15"/>
    <n v="13.743791548865282"/>
    <n v="13.743791548865282"/>
  </r>
  <r>
    <x v="41"/>
    <x v="11"/>
    <n v="225"/>
    <x v="2"/>
    <n v="3"/>
    <n v="2.3333333333333299"/>
    <n v="4.2590041612856897"/>
    <n v="4.2590041612856897"/>
    <n v="4.1618087185130603"/>
    <n v="4.0276501834301799"/>
    <n v="3.8003333425010699"/>
    <n v="3.7963227654266398"/>
    <n v="6.9999999999999893"/>
    <n v="12.777012483857069"/>
    <n v="12.082950550290541"/>
  </r>
  <r>
    <x v="42"/>
    <x v="8"/>
    <n v="4"/>
    <x v="1"/>
    <n v="9"/>
    <n v="4.55555555555555"/>
    <n v="4.5527486088150999"/>
    <n v="4.5527486088150999"/>
    <n v="4.4545981499726599"/>
    <n v="4.3125779353003297"/>
    <n v="3.99913705769228"/>
    <n v="3.9650643062289501"/>
    <n v="40.99999999999995"/>
    <n v="40.9747374793359"/>
    <n v="38.81320141770297"/>
  </r>
  <r>
    <x v="43"/>
    <x v="8"/>
    <n v="4"/>
    <x v="1"/>
    <n v="526"/>
    <n v="4.5304182509505697"/>
    <n v="4.5311899444242396"/>
    <n v="4.5311899444242396"/>
    <n v="4.5109199284939301"/>
    <n v="4.4737316913715697"/>
    <n v="4.3467825025748796"/>
    <n v="4.1895895127038898"/>
    <n v="2382.9999999999995"/>
    <n v="2383.4059107671501"/>
    <n v="2353.1828696614457"/>
  </r>
  <r>
    <x v="44"/>
    <x v="8"/>
    <n v="4"/>
    <x v="1"/>
    <n v="116"/>
    <n v="4.4568965517241299"/>
    <n v="4.47080668864439"/>
    <n v="4.47080668864439"/>
    <n v="4.3706927360772898"/>
    <n v="4.2116894821122202"/>
    <n v="3.8355649835928598"/>
    <n v="3.4122961878844702"/>
    <n v="516.99999999999909"/>
    <n v="518.61357588274927"/>
    <n v="488.55597992501754"/>
  </r>
  <r>
    <x v="45"/>
    <x v="8"/>
    <n v="4"/>
    <x v="1"/>
    <n v="28"/>
    <n v="3.71428571428571"/>
    <n v="4.0631189511591197"/>
    <n v="4.0631189511591197"/>
    <n v="3.9402272744685898"/>
    <n v="3.7576461376319799"/>
    <n v="3.35850320903974"/>
    <n v="2.93014701238361"/>
    <n v="103.99999999999989"/>
    <n v="113.76733063245536"/>
    <n v="105.21409185369544"/>
  </r>
  <r>
    <x v="46"/>
    <x v="9"/>
    <n v="76"/>
    <x v="0"/>
    <n v="63"/>
    <n v="4.1746031746031704"/>
    <n v="4.2574586571240998"/>
    <n v="4.2574586571240998"/>
    <n v="4.2092650290029603"/>
    <n v="4.1355208030714898"/>
    <n v="3.9403341736467001"/>
    <n v="3.7328272672529899"/>
    <n v="262.99999999999972"/>
    <n v="268.21989539881827"/>
    <n v="260.53781059350388"/>
  </r>
  <r>
    <x v="47"/>
    <x v="12"/>
    <n v="4"/>
    <x v="1"/>
    <n v="5"/>
    <n v="4.4000000000000004"/>
    <n v="4.5211883862255204"/>
    <n v="4.5211883862255204"/>
    <n v="4.5211883862255204"/>
    <n v="4.5211883862255204"/>
    <n v="4.5211883862255204"/>
    <n v="4.5211883862255204"/>
    <n v="22"/>
    <n v="22.605941931127603"/>
    <n v="22.605941931127603"/>
  </r>
  <r>
    <x v="48"/>
    <x v="12"/>
    <n v="4"/>
    <x v="1"/>
    <n v="2"/>
    <n v="4.5"/>
    <n v="4.5468049843471796"/>
    <n v="4.5468049843471796"/>
    <n v="4.5468049843471796"/>
    <n v="4.5468049843471796"/>
    <n v="4.5468049843471796"/>
    <n v="4.5468049843471796"/>
    <n v="9"/>
    <n v="9.0936099686943592"/>
    <n v="9.0936099686943592"/>
  </r>
  <r>
    <x v="49"/>
    <x v="13"/>
    <n v="4"/>
    <x v="1"/>
    <n v="5"/>
    <n v="4.5999999999999996"/>
    <n v="4.5611883862255196"/>
    <n v="4.5611883862255196"/>
    <n v="4.5095051527296501"/>
    <n v="4.4287343387252402"/>
    <n v="4.2394708705825304"/>
    <n v="4.2063989337955503"/>
    <n v="23"/>
    <n v="22.805941931127599"/>
    <n v="22.143671693626203"/>
  </r>
  <r>
    <x v="50"/>
    <x v="14"/>
    <n v="225"/>
    <x v="2"/>
    <n v="1"/>
    <n v="3"/>
    <n v="4.4741474147414699"/>
    <n v="4.4741474147414699"/>
    <n v="4.4741474147414699"/>
    <n v="4.4741474147414699"/>
    <n v="4.4741474147414699"/>
    <n v="4.4741474147414699"/>
    <n v="3"/>
    <n v="4.4741474147414699"/>
    <n v="4.4741474147414699"/>
  </r>
  <r>
    <x v="51"/>
    <x v="15"/>
    <n v="4"/>
    <x v="1"/>
    <n v="147"/>
    <n v="4.83673469387755"/>
    <n v="4.8025731117103998"/>
    <n v="4.8025731117103998"/>
    <n v="4.6734939849407997"/>
    <n v="4.4756253017165903"/>
    <n v="4.0416735898288296"/>
    <n v="3.5646142572000001"/>
    <n v="710.99999999999989"/>
    <n v="705.97824742142882"/>
    <n v="657.91691935233882"/>
  </r>
  <r>
    <x v="52"/>
    <x v="15"/>
    <n v="4"/>
    <x v="1"/>
    <n v="292"/>
    <n v="4.77397260273972"/>
    <n v="4.7597106078706304"/>
    <n v="4.7597106078706304"/>
    <n v="4.6611235572057401"/>
    <n v="4.5055866234189397"/>
    <n v="4.1377093206472901"/>
    <n v="3.7258008719075999"/>
    <n v="1393.9999999999982"/>
    <n v="1389.835497498224"/>
    <n v="1315.6312940383305"/>
  </r>
  <r>
    <x v="53"/>
    <x v="15"/>
    <n v="4"/>
    <x v="1"/>
    <n v="54"/>
    <n v="4.4259259259259203"/>
    <n v="4.4598609412924004"/>
    <n v="4.4598609412924004"/>
    <n v="4.4388811321381203"/>
    <n v="4.4004600115167198"/>
    <n v="4.2699254214868301"/>
    <n v="4.1084613330078499"/>
    <n v="238.99999999999969"/>
    <n v="240.83249082978963"/>
    <n v="237.62484062190288"/>
  </r>
  <r>
    <x v="54"/>
    <x v="15"/>
    <n v="4"/>
    <x v="1"/>
    <n v="67"/>
    <n v="4.4776119402985"/>
    <n v="4.4945943638578996"/>
    <n v="4.4945943638578996"/>
    <n v="4.4544674506392203"/>
    <n v="4.3861015312233702"/>
    <n v="4.1861576229790503"/>
    <n v="3.9510992382965"/>
    <n v="299.99999999999949"/>
    <n v="301.13782237847926"/>
    <n v="293.86880259196579"/>
  </r>
  <r>
    <x v="55"/>
    <x v="15"/>
    <n v="4"/>
    <x v="1"/>
    <n v="242"/>
    <n v="4.5454545454545396"/>
    <n v="4.5459149223497599"/>
    <n v="4.5459149223497599"/>
    <n v="4.5382392793616297"/>
    <n v="4.5219552269751899"/>
    <n v="4.45165559875971"/>
    <n v="4.3535463790515401"/>
    <n v="1099.9999999999986"/>
    <n v="1100.1114112086418"/>
    <n v="1094.313164927996"/>
  </r>
  <r>
    <x v="56"/>
    <x v="15"/>
    <n v="4"/>
    <x v="1"/>
    <n v="54"/>
    <n v="4.4259259259259203"/>
    <n v="4.4598609412924004"/>
    <n v="4.4598609412924004"/>
    <n v="4.4388811321381203"/>
    <n v="4.4004600115167198"/>
    <n v="4.2699254214868301"/>
    <n v="4.1084613330078499"/>
    <n v="238.99999999999969"/>
    <n v="240.83249082978963"/>
    <n v="237.62484062190288"/>
  </r>
  <r>
    <x v="57"/>
    <x v="15"/>
    <n v="4"/>
    <x v="1"/>
    <n v="242"/>
    <n v="4.74380165289256"/>
    <n v="4.7291210292199901"/>
    <n v="4.7291210292199901"/>
    <n v="4.6354080460200997"/>
    <n v="4.4869702785718797"/>
    <n v="4.1318573159412697"/>
    <n v="3.7332306480058999"/>
    <n v="1147.9999999999995"/>
    <n v="1144.4472890712377"/>
    <n v="1085.8468074143948"/>
  </r>
  <r>
    <x v="58"/>
    <x v="15"/>
    <n v="4"/>
    <x v="1"/>
    <n v="809"/>
    <n v="4.5265760197775"/>
    <n v="4.5271769718403299"/>
    <n v="4.5271769718403299"/>
    <n v="4.5115749832377503"/>
    <n v="4.4815357197593997"/>
    <n v="4.3716719955328003"/>
    <n v="4.2299623316377604"/>
    <n v="3661.9999999999977"/>
    <n v="3662.4861702188268"/>
    <n v="3625.5623972853546"/>
  </r>
  <r>
    <x v="59"/>
    <x v="15"/>
    <n v="4"/>
    <x v="1"/>
    <n v="808"/>
    <n v="4.5272277227722704"/>
    <n v="4.5278136590043898"/>
    <n v="4.5278136590043898"/>
    <n v="4.51220376870147"/>
    <n v="4.4821804732252399"/>
    <n v="4.3724582534407803"/>
    <n v="4.2310754122514496"/>
    <n v="3657.9999999999945"/>
    <n v="3658.4734364755468"/>
    <n v="3621.6018223659939"/>
  </r>
  <r>
    <x v="60"/>
    <x v="15"/>
    <n v="4"/>
    <x v="1"/>
    <n v="32"/>
    <n v="4.65625"/>
    <n v="4.6159559549161102"/>
    <n v="4.6159559549161102"/>
    <n v="4.50785166235692"/>
    <n v="4.3460199863136797"/>
    <n v="3.98132700114268"/>
    <n v="3.58869013111322"/>
    <n v="149"/>
    <n v="147.71059055731553"/>
    <n v="139.07263956203775"/>
  </r>
  <r>
    <x v="61"/>
    <x v="15"/>
    <n v="4"/>
    <x v="1"/>
    <n v="808"/>
    <n v="4.5272277227722704"/>
    <n v="4.5278136590043898"/>
    <n v="4.5278136590043898"/>
    <n v="4.51220376870147"/>
    <n v="4.4821804732252399"/>
    <n v="4.3724582534407803"/>
    <n v="4.2310754122514496"/>
    <n v="3657.9999999999945"/>
    <n v="3658.4734364755468"/>
    <n v="3621.6018223659939"/>
  </r>
  <r>
    <x v="62"/>
    <x v="15"/>
    <n v="4"/>
    <x v="1"/>
    <n v="2"/>
    <n v="5"/>
    <n v="4.5922595298017299"/>
    <n v="4.5922595298017299"/>
    <n v="4.5922595298017299"/>
    <n v="4.5922595298017299"/>
    <n v="4.5922595298017299"/>
    <n v="4.5922595298017299"/>
    <n v="10"/>
    <n v="9.1845190596034598"/>
    <n v="9.1845190596034598"/>
  </r>
  <r>
    <x v="63"/>
    <x v="15"/>
    <n v="4"/>
    <x v="1"/>
    <n v="4"/>
    <n v="5"/>
    <n v="4.6262379023182501"/>
    <n v="4.6262379023182501"/>
    <n v="4.6262379023182501"/>
    <n v="4.6262379023182501"/>
    <n v="4.6262379023182501"/>
    <n v="4.6262379023182501"/>
    <n v="20"/>
    <n v="18.504951609273"/>
    <n v="18.504951609273"/>
  </r>
  <r>
    <x v="64"/>
    <x v="15"/>
    <n v="4"/>
    <x v="1"/>
    <n v="1"/>
    <n v="5"/>
    <n v="4.5728433169351401"/>
    <n v="4.5728433169351401"/>
    <n v="4.5728433169351401"/>
    <n v="4.5728433169351401"/>
    <n v="4.5728433169351401"/>
    <n v="4.5728433169351401"/>
    <n v="5"/>
    <n v="4.5728433169351401"/>
    <n v="4.5728433169351401"/>
  </r>
  <r>
    <x v="65"/>
    <x v="15"/>
    <n v="4"/>
    <x v="1"/>
    <n v="2"/>
    <n v="5"/>
    <n v="4.5922595298017299"/>
    <n v="4.5922595298017299"/>
    <n v="4.5922595298017299"/>
    <n v="4.5922595298017299"/>
    <n v="4.5922595298017299"/>
    <n v="4.5922595298017299"/>
    <n v="10"/>
    <n v="9.1845190596034598"/>
    <n v="9.1845190596034598"/>
  </r>
  <r>
    <x v="66"/>
    <x v="15"/>
    <n v="4"/>
    <x v="1"/>
    <n v="65"/>
    <n v="4.5076923076922997"/>
    <n v="4.5179965841839698"/>
    <n v="4.5179965841839698"/>
    <n v="4.50029567616384"/>
    <n v="4.4670934241050499"/>
    <n v="4.3495706783444001"/>
    <n v="4.20144610521562"/>
    <n v="292.99999999999949"/>
    <n v="293.66977797195801"/>
    <n v="290.36107256682823"/>
  </r>
  <r>
    <x v="67"/>
    <x v="16"/>
    <n v="4"/>
    <x v="1"/>
    <n v="2"/>
    <n v="5"/>
    <n v="4.5922595298017299"/>
    <n v="4.5922595298017299"/>
    <n v="4.5922595298017299"/>
    <n v="4.5922595298017299"/>
    <n v="4.5922595298017299"/>
    <n v="4.5922595298017299"/>
    <n v="10"/>
    <n v="9.1845190596034598"/>
    <n v="9.1845190596034598"/>
  </r>
  <r>
    <x v="68"/>
    <x v="17"/>
    <n v="4"/>
    <x v="1"/>
    <n v="127"/>
    <n v="4.8661417322834604"/>
    <n v="4.82333135820162"/>
    <n v="4.82333135820162"/>
    <n v="4.75379537383668"/>
    <n v="4.6414470271958104"/>
    <n v="4.3526823478415499"/>
    <n v="4.0248004151335701"/>
    <n v="617.99999999999943"/>
    <n v="612.56308249160577"/>
    <n v="589.46377245386793"/>
  </r>
  <r>
    <x v="69"/>
    <x v="18"/>
    <n v="4"/>
    <x v="1"/>
    <n v="1"/>
    <n v="1"/>
    <n v="4.3823671264589503"/>
    <n v="4.3823671264589503"/>
    <n v="4.3823671264589503"/>
    <n v="4.3823671264589503"/>
    <n v="4.3823671264589503"/>
    <n v="4.3823671264589503"/>
    <n v="1"/>
    <n v="4.3823671264589503"/>
    <n v="4.3823671264589503"/>
  </r>
  <r>
    <x v="70"/>
    <x v="19"/>
    <n v="76"/>
    <x v="0"/>
    <n v="4"/>
    <n v="5"/>
    <n v="4.5987111892208503"/>
    <n v="4.5987111892208503"/>
    <n v="4.49153384296722"/>
    <n v="4.3230235840215601"/>
    <n v="3.9983350898191801"/>
    <n v="3.9576010409450499"/>
    <n v="20"/>
    <n v="18.394844756883401"/>
    <n v="17.29209433608624"/>
  </r>
  <r>
    <x v="71"/>
    <x v="20"/>
    <n v="314"/>
    <x v="3"/>
    <n v="27"/>
    <n v="4.1111111111111098"/>
    <n v="4.2663565658211997"/>
    <n v="4.2663565658211997"/>
    <n v="4.1573005004407104"/>
    <n v="3.9995002619158901"/>
    <n v="3.6512326201291798"/>
    <n v="3.2868827281776101"/>
    <n v="110.99999999999997"/>
    <n v="115.19162727717239"/>
    <n v="107.98650707172904"/>
  </r>
  <r>
    <x v="72"/>
    <x v="20"/>
    <n v="314"/>
    <x v="3"/>
    <n v="35"/>
    <n v="4.3428571428571399"/>
    <n v="4.3912501562472102"/>
    <n v="4.3912501562472102"/>
    <n v="4.3612656481240197"/>
    <n v="4.31028374740408"/>
    <n v="4.1547909562650496"/>
    <n v="3.97392511070883"/>
    <n v="151.99999999999989"/>
    <n v="153.69375546865234"/>
    <n v="150.8599311591428"/>
  </r>
  <r>
    <x v="73"/>
    <x v="20"/>
    <n v="314"/>
    <x v="3"/>
    <n v="168"/>
    <n v="4.4583333333333304"/>
    <n v="4.4602061627318896"/>
    <n v="4.4602061627318896"/>
    <n v="4.3584901925826403"/>
    <n v="4.2043915593665702"/>
    <n v="3.8496671969961298"/>
    <n v="3.4646762185284299"/>
    <n v="748.99999999999955"/>
    <n v="749.31463533895749"/>
    <n v="706.33778197358379"/>
  </r>
  <r>
    <x v="74"/>
    <x v="21"/>
    <n v="76"/>
    <x v="0"/>
    <n v="4"/>
    <n v="3.5"/>
    <n v="4.3487111892208503"/>
    <n v="4.3487111892208503"/>
    <n v="4.3487111892208503"/>
    <n v="4.3487111892208503"/>
    <n v="4.3487111892208503"/>
    <n v="4.3487111892208503"/>
    <n v="14"/>
    <n v="17.394844756883401"/>
    <n v="17.394844756883401"/>
  </r>
  <r>
    <x v="75"/>
    <x v="21"/>
    <n v="76"/>
    <x v="0"/>
    <n v="11"/>
    <n v="4.0909090909090899"/>
    <n v="4.3667441464935601"/>
    <n v="4.3667441464935601"/>
    <n v="4.2648183208924904"/>
    <n v="4.0878121025158496"/>
    <n v="3.6443370978133598"/>
    <n v="3.4485597280553999"/>
    <n v="44.999999999999986"/>
    <n v="48.034185611429159"/>
    <n v="44.965933127674347"/>
  </r>
  <r>
    <x v="76"/>
    <x v="21"/>
    <n v="76"/>
    <x v="0"/>
    <n v="6"/>
    <n v="4.3333333333333304"/>
    <n v="4.4757334054346298"/>
    <n v="4.4757334054346298"/>
    <n v="4.3864435515119196"/>
    <n v="4.2764164550961503"/>
    <n v="4.0722535562166398"/>
    <n v="4.0831352223856898"/>
    <n v="25.999999999999982"/>
    <n v="26.854400432607779"/>
    <n v="25.658498730576902"/>
  </r>
  <r>
    <x v="77"/>
    <x v="21"/>
    <n v="76"/>
    <x v="0"/>
    <n v="2"/>
    <n v="5"/>
    <n v="4.5622303882409296"/>
    <n v="4.5622303882409296"/>
    <n v="4.5622303882409296"/>
    <n v="4.5622303882409296"/>
    <n v="4.5622303882409296"/>
    <n v="4.5622303882409296"/>
    <n v="10"/>
    <n v="9.1244607764818593"/>
    <n v="9.1244607764818593"/>
  </r>
  <r>
    <x v="78"/>
    <x v="21"/>
    <n v="76"/>
    <x v="0"/>
    <n v="5"/>
    <n v="4.2"/>
    <n v="4.4547627416520204"/>
    <n v="4.4547627416520204"/>
    <n v="4.4547627416520204"/>
    <n v="4.4547627416520204"/>
    <n v="4.4547627416520204"/>
    <n v="4.4547627416520204"/>
    <n v="21"/>
    <n v="22.2738137082601"/>
    <n v="22.2738137082601"/>
  </r>
  <r>
    <x v="79"/>
    <x v="22"/>
    <n v="76"/>
    <x v="0"/>
    <n v="7"/>
    <n v="4.4285714285714199"/>
    <n v="4.4951506867148296"/>
    <n v="4.4951506867148296"/>
    <n v="4.4430872276845896"/>
    <n v="4.3602228547976098"/>
    <n v="4.15135260113576"/>
    <n v="4.1096269242454202"/>
    <n v="30.99999999999994"/>
    <n v="31.466054807003808"/>
    <n v="30.52155998358327"/>
  </r>
  <r>
    <x v="80"/>
    <x v="22"/>
    <n v="76"/>
    <x v="0"/>
    <n v="14"/>
    <n v="3.21428571428571"/>
    <n v="3.9814431923911902"/>
    <n v="3.9814431923911902"/>
    <n v="3.8781378349648898"/>
    <n v="3.7243549341134998"/>
    <n v="3.3774029095531199"/>
    <n v="3.0708329942577599"/>
    <n v="44.999999999999943"/>
    <n v="55.740204693476663"/>
    <n v="52.140969077588998"/>
  </r>
  <r>
    <x v="81"/>
    <x v="21"/>
    <n v="76"/>
    <x v="0"/>
    <n v="3"/>
    <n v="3.3333333333333299"/>
    <n v="4.3638725452739298"/>
    <n v="4.3638725452739298"/>
    <n v="4.2527920392480798"/>
    <n v="4.0746800729545498"/>
    <n v="3.7523114535611"/>
    <n v="3.71611859107127"/>
    <n v="9.9999999999999893"/>
    <n v="13.091617635821789"/>
    <n v="12.224040218863649"/>
  </r>
  <r>
    <x v="82"/>
    <x v="21"/>
    <n v="76"/>
    <x v="0"/>
    <n v="4"/>
    <n v="5"/>
    <n v="4.5987111892208503"/>
    <n v="4.5987111892208503"/>
    <n v="4.5987111892208503"/>
    <n v="4.5987111892208503"/>
    <n v="4.5987111892208503"/>
    <n v="4.5987111892208503"/>
    <n v="20"/>
    <n v="18.394844756883401"/>
    <n v="18.394844756883401"/>
  </r>
  <r>
    <x v="83"/>
    <x v="21"/>
    <n v="76"/>
    <x v="0"/>
    <n v="11"/>
    <n v="4.2727272727272698"/>
    <n v="4.4312602755258199"/>
    <n v="4.4312602755258199"/>
    <n v="4.4312602755258199"/>
    <n v="4.4312602755258199"/>
    <n v="4.4312602755258199"/>
    <n v="4.4312602755258199"/>
    <n v="46.999999999999972"/>
    <n v="48.74386303078402"/>
    <n v="48.74386303078402"/>
  </r>
  <r>
    <x v="84"/>
    <x v="21"/>
    <n v="76"/>
    <x v="0"/>
    <n v="16"/>
    <n v="4.6875"/>
    <n v="4.5935852372583401"/>
    <n v="4.5935852372583401"/>
    <n v="4.5281806902993997"/>
    <n v="4.4230671235259198"/>
    <n v="4.1502594658766796"/>
    <n v="3.8422842822476402"/>
    <n v="75"/>
    <n v="73.497363796133442"/>
    <n v="70.769073976414717"/>
  </r>
  <r>
    <x v="85"/>
    <x v="21"/>
    <n v="76"/>
    <x v="0"/>
    <n v="14"/>
    <n v="4.1428571428571397"/>
    <n v="4.3637961335676598"/>
    <n v="4.3637961335676598"/>
    <n v="4.2844613388549"/>
    <n v="4.1469478322721303"/>
    <n v="3.78598422503141"/>
    <n v="3.4214047141979802"/>
    <n v="57.999999999999957"/>
    <n v="61.093145869947236"/>
    <n v="58.057269651809825"/>
  </r>
  <r>
    <x v="86"/>
    <x v="21"/>
    <n v="76"/>
    <x v="0"/>
    <n v="4"/>
    <n v="5"/>
    <n v="4.5987111892208503"/>
    <n v="4.5987111892208503"/>
    <n v="4.3587111892208501"/>
    <n v="3.9587111892208502"/>
    <n v="3.29871118922085"/>
    <n v="3.23871118922085"/>
    <n v="20"/>
    <n v="18.394844756883401"/>
    <n v="15.834844756883401"/>
  </r>
  <r>
    <x v="87"/>
    <x v="21"/>
    <n v="76"/>
    <x v="0"/>
    <n v="4"/>
    <n v="1"/>
    <n v="3.9320445225541798"/>
    <n v="3.9320445225541798"/>
    <n v="3.9320445225541798"/>
    <n v="3.9320445225541798"/>
    <n v="3.9320445225541798"/>
    <n v="3.9320445225541798"/>
    <n v="4"/>
    <n v="15.728178090216719"/>
    <n v="15.728178090216719"/>
  </r>
  <r>
    <x v="88"/>
    <x v="21"/>
    <n v="76"/>
    <x v="0"/>
    <n v="99"/>
    <n v="4.6767676767676702"/>
    <n v="4.6501602398428599"/>
    <n v="4.6501602398428599"/>
    <n v="4.5674967824581403"/>
    <n v="4.4395591348611996"/>
    <n v="4.1288246414592296"/>
    <n v="3.7872489843172699"/>
    <n v="462.99999999999937"/>
    <n v="460.36586374444312"/>
    <n v="439.51635435125877"/>
  </r>
  <r>
    <x v="89"/>
    <x v="21"/>
    <n v="76"/>
    <x v="0"/>
    <n v="20"/>
    <n v="4.0999999999999996"/>
    <n v="4.3092267135325102"/>
    <n v="4.3092267135325102"/>
    <n v="4.2613875478843299"/>
    <n v="4.1887748309054604"/>
    <n v="3.9990087392410798"/>
    <n v="3.79851887141532"/>
    <n v="82"/>
    <n v="86.184534270650204"/>
    <n v="83.775496618109202"/>
  </r>
  <r>
    <x v="90"/>
    <x v="22"/>
    <n v="76"/>
    <x v="0"/>
    <n v="123"/>
    <n v="4.7967479674796696"/>
    <n v="4.7578256541349599"/>
    <n v="4.7578256541349599"/>
    <n v="4.7307893732316497"/>
    <n v="4.6829446780249402"/>
    <n v="4.53002243576206"/>
    <n v="4.3457275202458998"/>
    <n v="589.99999999999932"/>
    <n v="585.21255545860004"/>
    <n v="576.00219539706768"/>
  </r>
  <r>
    <x v="91"/>
    <x v="22"/>
    <n v="76"/>
    <x v="0"/>
    <n v="12"/>
    <n v="4.8333333333333304"/>
    <n v="4.6365333919156404"/>
    <n v="4.6365333919156404"/>
    <n v="4.6365333919156404"/>
    <n v="4.6365333919156404"/>
    <n v="4.6365333919156404"/>
    <n v="4.6365333919156404"/>
    <n v="57.999999999999964"/>
    <n v="55.638400702987681"/>
    <n v="55.638400702987681"/>
  </r>
  <r>
    <x v="92"/>
    <x v="22"/>
    <n v="76"/>
    <x v="0"/>
    <n v="3"/>
    <n v="4.6666666666666599"/>
    <n v="4.5377855887521896"/>
    <n v="4.5377855887521896"/>
    <n v="4.5377855887521896"/>
    <n v="4.5377855887521896"/>
    <n v="4.5377855887521896"/>
    <n v="4.5377855887521896"/>
    <n v="13.999999999999979"/>
    <n v="13.613356766256569"/>
    <n v="13.613356766256569"/>
  </r>
  <r>
    <x v="93"/>
    <x v="22"/>
    <n v="76"/>
    <x v="0"/>
    <n v="13"/>
    <n v="3.9230769230769198"/>
    <n v="4.2839111679181903"/>
    <n v="4.2839111679181903"/>
    <n v="4.2097053476108703"/>
    <n v="4.1049497954749903"/>
    <n v="3.8610524016899599"/>
    <n v="3.7060222897110102"/>
    <n v="50.999999999999957"/>
    <n v="55.690845182936471"/>
    <n v="53.364347341174877"/>
  </r>
  <r>
    <x v="94"/>
    <x v="22"/>
    <n v="76"/>
    <x v="0"/>
    <n v="16"/>
    <n v="5"/>
    <n v="4.7324741261472303"/>
    <n v="4.7324741261472303"/>
    <n v="4.7324741261472303"/>
    <n v="4.7324741261472303"/>
    <n v="4.7324741261472303"/>
    <n v="4.7324741261472303"/>
    <n v="80"/>
    <n v="75.719586018355685"/>
    <n v="75.719586018355685"/>
  </r>
  <r>
    <x v="95"/>
    <x v="22"/>
    <n v="76"/>
    <x v="0"/>
    <n v="8"/>
    <n v="5"/>
    <n v="4.6560381621892999"/>
    <n v="4.6560381621892999"/>
    <n v="4.6560381621892999"/>
    <n v="4.6560381621892999"/>
    <n v="4.6560381621892999"/>
    <n v="4.6560381621892999"/>
    <n v="40"/>
    <n v="37.248305297514399"/>
    <n v="37.248305297514399"/>
  </r>
  <r>
    <x v="96"/>
    <x v="22"/>
    <n v="76"/>
    <x v="0"/>
    <n v="24"/>
    <n v="3"/>
    <n v="3.69020610321137"/>
    <n v="3.69020610321137"/>
    <n v="3.6441310350212199"/>
    <n v="3.5589342557151999"/>
    <n v="3.3045023213802698"/>
    <n v="2.9847562430452999"/>
    <n v="72"/>
    <n v="88.56494647707288"/>
    <n v="85.414422137164792"/>
  </r>
  <r>
    <x v="97"/>
    <x v="22"/>
    <n v="76"/>
    <x v="0"/>
    <n v="17"/>
    <n v="4"/>
    <n v="4.2802450957108196"/>
    <n v="4.2802450957108196"/>
    <n v="4.1622538852081501"/>
    <n v="3.9788166465351398"/>
    <n v="3.5637323310472602"/>
    <n v="3.10323397421097"/>
    <n v="68"/>
    <n v="72.764166627083938"/>
    <n v="67.63988299109738"/>
  </r>
  <r>
    <x v="98"/>
    <x v="22"/>
    <n v="76"/>
    <x v="0"/>
    <n v="11"/>
    <n v="3.1818181818181799"/>
    <n v="4.0441635013322701"/>
    <n v="4.0441635013322701"/>
    <n v="3.91993658528322"/>
    <n v="3.7612375123628898"/>
    <n v="3.4479792576601298"/>
    <n v="3.3931130680579602"/>
    <n v="34.999999999999979"/>
    <n v="44.485798514654974"/>
    <n v="41.37361263599179"/>
  </r>
  <r>
    <x v="99"/>
    <x v="22"/>
    <n v="76"/>
    <x v="0"/>
    <n v="2"/>
    <n v="4"/>
    <n v="4.4713212973318397"/>
    <n v="4.4713212973318397"/>
    <n v="4.3513212973318396"/>
    <n v="4.1513212973318403"/>
    <n v="3.8213212973318398"/>
    <n v="3.79132129733184"/>
    <n v="8"/>
    <n v="8.9426425946636794"/>
    <n v="8.3026425946636806"/>
  </r>
  <r>
    <x v="100"/>
    <x v="23"/>
    <n v="314"/>
    <x v="3"/>
    <n v="16"/>
    <n v="4.75"/>
    <n v="4.5977432942665697"/>
    <n v="4.5977432942665697"/>
    <n v="4.5977432942665697"/>
    <n v="4.5977432942665697"/>
    <n v="4.5977432942665697"/>
    <n v="4.5977432942665697"/>
    <n v="76"/>
    <n v="73.563892708265115"/>
    <n v="73.563892708265115"/>
  </r>
  <r>
    <x v="101"/>
    <x v="23"/>
    <n v="314"/>
    <x v="3"/>
    <n v="142"/>
    <n v="4.7323943661971803"/>
    <n v="4.7007330777382501"/>
    <n v="4.7007330777382501"/>
    <n v="4.6208389703788404"/>
    <n v="4.4943454172687103"/>
    <n v="4.1810908610139803"/>
    <n v="3.83042811961091"/>
    <n v="671.99999999999966"/>
    <n v="667.50409703883156"/>
    <n v="638.19704925215683"/>
  </r>
  <r>
    <x v="102"/>
    <x v="23"/>
    <n v="314"/>
    <x v="3"/>
    <n v="71"/>
    <n v="4.7323943661971803"/>
    <n v="4.6760303142153399"/>
    <n v="4.6760303142153399"/>
    <n v="4.5961362068559302"/>
    <n v="4.4696426537458098"/>
    <n v="4.1563880974910701"/>
    <n v="3.80572535608801"/>
    <n v="335.99999999999983"/>
    <n v="331.99815230928914"/>
    <n v="317.34462841595251"/>
  </r>
  <r>
    <x v="103"/>
    <x v="23"/>
    <n v="314"/>
    <x v="3"/>
    <n v="38"/>
    <n v="4.6842105263157796"/>
    <n v="4.6123923895447598"/>
    <n v="4.6123923895447598"/>
    <n v="4.5583414473595303"/>
    <n v="4.4702266580482197"/>
    <n v="4.2327310318656304"/>
    <n v="3.96229341461436"/>
    <n v="177.99999999999963"/>
    <n v="175.27091080270088"/>
    <n v="169.86861300583234"/>
  </r>
  <r>
    <x v="104"/>
    <x v="23"/>
    <n v="314"/>
    <x v="3"/>
    <n v="9"/>
    <n v="4.7777777777777697"/>
    <n v="4.5696123652964298"/>
    <n v="4.5696123652964298"/>
    <n v="4.4662960928307003"/>
    <n v="4.3054246244301702"/>
    <n v="3.93691344972749"/>
    <n v="3.8750763713309699"/>
    <n v="42.999999999999929"/>
    <n v="41.126511287667867"/>
    <n v="38.748821619871535"/>
  </r>
  <r>
    <x v="105"/>
    <x v="23"/>
    <n v="314"/>
    <x v="3"/>
    <n v="45"/>
    <n v="4.7777777777777697"/>
    <n v="4.6849039783630202"/>
    <n v="4.6849039783630202"/>
    <n v="4.5701081200677702"/>
    <n v="4.3913620440671801"/>
    <n v="3.9819051832864298"/>
    <n v="3.5273439884206002"/>
    <n v="214.99999999999963"/>
    <n v="210.82067902633591"/>
    <n v="197.61129198302311"/>
  </r>
  <r>
    <x v="106"/>
    <x v="23"/>
    <n v="314"/>
    <x v="3"/>
    <n v="108"/>
    <n v="4.7777777777777697"/>
    <n v="4.7306153015124703"/>
    <n v="4.7306153015124703"/>
    <n v="4.6721736031107497"/>
    <n v="4.5773466028541598"/>
    <n v="4.3247848452892397"/>
    <n v="4.0380227089198799"/>
    <n v="515.99999999999909"/>
    <n v="510.90645256334682"/>
    <n v="494.35343310824925"/>
  </r>
  <r>
    <x v="107"/>
    <x v="23"/>
    <n v="314"/>
    <x v="3"/>
    <n v="108"/>
    <n v="4.7777777777777697"/>
    <n v="4.7306153015124703"/>
    <n v="4.7306153015124703"/>
    <n v="4.6721736031107497"/>
    <n v="4.5773466028541598"/>
    <n v="4.3247848452892397"/>
    <n v="4.0380227089198799"/>
    <n v="515.99999999999909"/>
    <n v="510.90645256334682"/>
    <n v="494.35343310824925"/>
  </r>
  <r>
    <x v="108"/>
    <x v="23"/>
    <n v="314"/>
    <x v="3"/>
    <n v="20"/>
    <n v="5"/>
    <n v="4.7379689648399097"/>
    <n v="4.7379689648399097"/>
    <n v="4.6346024978481601"/>
    <n v="4.4730608698393599"/>
    <n v="4.0945339335539401"/>
    <n v="3.6736006075500098"/>
    <n v="100"/>
    <n v="94.759379296798187"/>
    <n v="89.461217396787191"/>
  </r>
  <r>
    <x v="109"/>
    <x v="23"/>
    <n v="314"/>
    <x v="3"/>
    <n v="21"/>
    <n v="4.3333333333333304"/>
    <n v="4.4028965510633302"/>
    <n v="4.4028965510633302"/>
    <n v="4.2903441419717598"/>
    <n v="4.1370114876235196"/>
    <n v="3.8141111929545799"/>
    <n v="3.4943800545802901"/>
    <n v="90.999999999999943"/>
    <n v="92.460827572329933"/>
    <n v="86.877241240093909"/>
  </r>
  <r>
    <x v="110"/>
    <x v="23"/>
    <n v="314"/>
    <x v="3"/>
    <n v="36"/>
    <n v="4.7777777777777697"/>
    <n v="4.6699778320284997"/>
    <n v="4.6699778320284997"/>
    <n v="4.6699778320284997"/>
    <n v="4.6699778320284997"/>
    <n v="4.6699778320284997"/>
    <n v="4.6699778320284997"/>
    <n v="171.99999999999972"/>
    <n v="168.11920195302599"/>
    <n v="168.11920195302599"/>
  </r>
  <r>
    <x v="111"/>
    <x v="24"/>
    <n v="76"/>
    <x v="0"/>
    <n v="16"/>
    <n v="4.5"/>
    <n v="4.5102519039250097"/>
    <n v="4.5102519039250097"/>
    <n v="4.4486946832577603"/>
    <n v="4.3586802472739699"/>
    <n v="4.1369249385509699"/>
    <n v="3.9092111399164402"/>
    <n v="72"/>
    <n v="72.164030462800156"/>
    <n v="69.738883956383518"/>
  </r>
  <r>
    <x v="112"/>
    <x v="24"/>
    <n v="76"/>
    <x v="0"/>
    <n v="126"/>
    <n v="4.5158730158730096"/>
    <n v="4.51622649685822"/>
    <n v="4.51622649685822"/>
    <n v="4.4341998287621998"/>
    <n v="4.30385129486063"/>
    <n v="3.98192240083864"/>
    <n v="3.6203320365987501"/>
    <n v="568.9999999999992"/>
    <n v="569.04453860413571"/>
    <n v="542.28526315243937"/>
  </r>
  <r>
    <x v="113"/>
    <x v="24"/>
    <n v="76"/>
    <x v="0"/>
    <n v="74"/>
    <n v="4.9189189189189104"/>
    <n v="4.8337134951202101"/>
    <n v="4.8337134951202101"/>
    <n v="4.7636966666974203"/>
    <n v="4.6518239248526898"/>
    <n v="4.3663893429555296"/>
    <n v="4.0452441469757296"/>
    <n v="363.99999999999937"/>
    <n v="357.69479863889552"/>
    <n v="344.23497043909907"/>
  </r>
  <r>
    <x v="114"/>
    <x v="24"/>
    <n v="76"/>
    <x v="0"/>
    <n v="19"/>
    <n v="4.8421052631578902"/>
    <n v="4.6761299625974404"/>
    <n v="4.6761299625974404"/>
    <n v="4.6761299625974404"/>
    <n v="4.6761299625974404"/>
    <n v="4.6761299625974404"/>
    <n v="4.6761299625974404"/>
    <n v="91.999999999999915"/>
    <n v="88.846469289351361"/>
    <n v="88.846469289351361"/>
  </r>
  <r>
    <x v="115"/>
    <x v="24"/>
    <n v="76"/>
    <x v="0"/>
    <n v="100"/>
    <n v="4.6100000000000003"/>
    <n v="4.5947422378441702"/>
    <n v="4.5947422378441702"/>
    <n v="4.5176566412151198"/>
    <n v="4.39297547916724"/>
    <n v="4.0790311790819196"/>
    <n v="3.7216943319420901"/>
    <n v="461.00000000000006"/>
    <n v="459.47422378441701"/>
    <n v="439.297547916724"/>
  </r>
  <r>
    <x v="116"/>
    <x v="24"/>
    <n v="76"/>
    <x v="0"/>
    <n v="34"/>
    <n v="4.5882352941176396"/>
    <n v="4.5623901581722297"/>
    <n v="4.5623901581722297"/>
    <n v="4.4869460109962898"/>
    <n v="4.3694655901908499"/>
    <n v="4.07819651996925"/>
    <n v="3.7570769198824898"/>
    <n v="155.99999999999974"/>
    <n v="155.12126537785582"/>
    <n v="148.56183006648891"/>
  </r>
  <r>
    <x v="117"/>
    <x v="24"/>
    <n v="76"/>
    <x v="0"/>
    <n v="388"/>
    <n v="4.8247422680412297"/>
    <n v="4.8097281091698498"/>
    <n v="4.8097281091698498"/>
    <n v="4.7356459047907"/>
    <n v="4.6186281485512302"/>
    <n v="4.3253595523636799"/>
    <n v="3.9981598227616399"/>
    <n v="1871.999999999997"/>
    <n v="1866.1745063579017"/>
    <n v="1792.0277216378772"/>
  </r>
  <r>
    <x v="118"/>
    <x v="24"/>
    <n v="76"/>
    <x v="0"/>
    <n v="4"/>
    <n v="5"/>
    <n v="4.5987111892208503"/>
    <n v="4.5987111892208503"/>
    <n v="4.5987111892208503"/>
    <n v="4.5987111892208503"/>
    <n v="4.5987111892208503"/>
    <n v="4.5987111892208503"/>
    <n v="20"/>
    <n v="18.394844756883401"/>
    <n v="18.394844756883401"/>
  </r>
  <r>
    <x v="119"/>
    <x v="25"/>
    <n v="225"/>
    <x v="2"/>
    <n v="92"/>
    <n v="4.75"/>
    <n v="4.7139026402640196"/>
    <n v="4.7139026402640196"/>
    <n v="4.6690608764146999"/>
    <n v="4.5952125965123303"/>
    <n v="4.3884439337186301"/>
    <n v="4.1520101249827004"/>
    <n v="437"/>
    <n v="433.67904290428982"/>
    <n v="422.75955887913437"/>
  </r>
  <r>
    <x v="120"/>
    <x v="25"/>
    <n v="225"/>
    <x v="2"/>
    <n v="13"/>
    <n v="4.8461538461538396"/>
    <n v="4.6653665366536599"/>
    <n v="4.6653665366536599"/>
    <n v="4.5854525763226901"/>
    <n v="4.4588726453730496"/>
    <n v="4.1449249782189099"/>
    <n v="3.90966569592119"/>
    <n v="62.999999999999915"/>
    <n v="60.649764976497579"/>
    <n v="57.965344389849648"/>
  </r>
  <r>
    <x v="121"/>
    <x v="25"/>
    <n v="225"/>
    <x v="2"/>
    <n v="12"/>
    <n v="4.9166666666666599"/>
    <n v="4.6861592409240904"/>
    <n v="4.6861592409240904"/>
    <n v="4.6861592409240904"/>
    <n v="4.6861592409240904"/>
    <n v="4.6861592409240904"/>
    <n v="4.6861592409240904"/>
    <n v="58.999999999999915"/>
    <n v="56.233910891089081"/>
    <n v="56.233910891089081"/>
  </r>
  <r>
    <x v="122"/>
    <x v="25"/>
    <n v="225"/>
    <x v="2"/>
    <n v="4"/>
    <n v="3.25"/>
    <n v="4.33154565456545"/>
    <n v="4.33154565456545"/>
    <n v="4.33154565456545"/>
    <n v="4.33154565456545"/>
    <n v="4.33154565456545"/>
    <n v="4.33154565456545"/>
    <n v="13"/>
    <n v="17.3261826182618"/>
    <n v="17.3261826182618"/>
  </r>
  <r>
    <x v="123"/>
    <x v="25"/>
    <n v="225"/>
    <x v="2"/>
    <n v="3"/>
    <n v="5"/>
    <n v="4.6068302482422103"/>
    <n v="4.6068302482422103"/>
    <n v="4.6068302482422103"/>
    <n v="4.6068302482422103"/>
    <n v="4.6068302482422103"/>
    <n v="4.6068302482422103"/>
    <n v="15"/>
    <n v="13.82049074472663"/>
    <n v="13.82049074472663"/>
  </r>
  <r>
    <x v="124"/>
    <x v="25"/>
    <n v="225"/>
    <x v="2"/>
    <n v="4"/>
    <n v="4.75"/>
    <n v="4.58154565456545"/>
    <n v="4.58154565456545"/>
    <n v="4.58154565456545"/>
    <n v="4.58154565456545"/>
    <n v="4.58154565456545"/>
    <n v="4.58154565456545"/>
    <n v="19"/>
    <n v="18.3261826182618"/>
    <n v="18.3261826182618"/>
  </r>
  <r>
    <x v="125"/>
    <x v="25"/>
    <n v="225"/>
    <x v="2"/>
    <n v="4"/>
    <n v="5"/>
    <n v="4.6232123212321197"/>
    <n v="4.6232123212321197"/>
    <n v="4.5715208952572501"/>
    <n v="4.49126153015483"/>
    <n v="4.3119904948537497"/>
    <n v="4.2832123212321198"/>
    <n v="20"/>
    <n v="18.492849284928479"/>
    <n v="17.96504612061932"/>
  </r>
  <r>
    <x v="126"/>
    <x v="25"/>
    <n v="225"/>
    <x v="2"/>
    <n v="1"/>
    <n v="5"/>
    <n v="4.5693855099795604"/>
    <n v="4.5693855099795604"/>
    <n v="4.5693855099795604"/>
    <n v="4.5693855099795604"/>
    <n v="4.5693855099795604"/>
    <n v="4.5693855099795604"/>
    <n v="5"/>
    <n v="4.5693855099795604"/>
    <n v="4.5693855099795604"/>
  </r>
  <r>
    <x v="127"/>
    <x v="25"/>
    <n v="225"/>
    <x v="2"/>
    <n v="27"/>
    <n v="4.7037037037036997"/>
    <n v="4.6373850150972498"/>
    <n v="4.6373850150972498"/>
    <n v="4.5451335136855899"/>
    <n v="4.4004818968900601"/>
    <n v="4.0558551662857303"/>
    <n v="3.6720021520599699"/>
    <n v="126.99999999999989"/>
    <n v="125.20939540762575"/>
    <n v="118.81301121603163"/>
  </r>
  <r>
    <x v="128"/>
    <x v="25"/>
    <n v="225"/>
    <x v="2"/>
    <n v="14"/>
    <n v="4.71428571428571"/>
    <n v="4.6163851679285504"/>
    <n v="4.6163851679285504"/>
    <n v="4.5092536861531398"/>
    <n v="4.3497751223072498"/>
    <n v="3.98997302276315"/>
    <n v="3.67204866616055"/>
    <n v="65.999999999999943"/>
    <n v="64.629392350999709"/>
    <n v="60.896851712301498"/>
  </r>
  <r>
    <x v="129"/>
    <x v="25"/>
    <n v="225"/>
    <x v="2"/>
    <n v="1"/>
    <n v="5"/>
    <n v="4.5693855099795604"/>
    <n v="4.5693855099795604"/>
    <n v="4.5693855099795604"/>
    <n v="4.5693855099795604"/>
    <n v="4.5693855099795604"/>
    <n v="4.5693855099795604"/>
    <n v="5"/>
    <n v="4.5693855099795604"/>
    <n v="4.5693855099795604"/>
  </r>
  <r>
    <x v="130"/>
    <x v="25"/>
    <n v="225"/>
    <x v="2"/>
    <n v="1"/>
    <n v="3"/>
    <n v="4.4741474147414699"/>
    <n v="4.4741474147414699"/>
    <n v="4.4741474147414699"/>
    <n v="4.4741474147414699"/>
    <n v="4.4741474147414699"/>
    <n v="4.4741474147414699"/>
    <n v="3"/>
    <n v="4.4741474147414699"/>
    <n v="4.4741474147414699"/>
  </r>
  <r>
    <x v="131"/>
    <x v="25"/>
    <n v="225"/>
    <x v="2"/>
    <n v="2"/>
    <n v="2"/>
    <n v="4.3162316231623103"/>
    <n v="4.3162316231623103"/>
    <n v="4.2733606846608598"/>
    <n v="4.2243357547625502"/>
    <n v="4.1446955947618402"/>
    <n v="4.1559540860933604"/>
    <n v="4"/>
    <n v="8.6324632463246207"/>
    <n v="8.4486715095251004"/>
  </r>
  <r>
    <x v="132"/>
    <x v="25"/>
    <n v="225"/>
    <x v="2"/>
    <n v="2"/>
    <n v="5"/>
    <n v="4.5889588958895802"/>
    <n v="4.5889588958895802"/>
    <n v="4.5889588958895802"/>
    <n v="4.5889588958895802"/>
    <n v="4.5889588958895802"/>
    <n v="4.5889588958895802"/>
    <n v="10"/>
    <n v="9.1779177917791603"/>
    <n v="9.1779177917791603"/>
  </r>
  <r>
    <x v="133"/>
    <x v="26"/>
    <n v="76"/>
    <x v="0"/>
    <n v="6"/>
    <n v="3.8333333333333299"/>
    <n v="4.3603487900500202"/>
    <n v="4.3603487900500202"/>
    <n v="4.2636181149670804"/>
    <n v="4.1278123479884501"/>
    <n v="3.8559989785275199"/>
    <n v="3.8368845459847498"/>
    <n v="22.999999999999979"/>
    <n v="26.162092740300121"/>
    <n v="24.766874087930702"/>
  </r>
  <r>
    <x v="134"/>
    <x v="26"/>
    <n v="76"/>
    <x v="0"/>
    <n v="29"/>
    <n v="4.2413793103448203"/>
    <n v="4.3544707865571501"/>
    <n v="4.3544707865571501"/>
    <n v="4.1518657311248699"/>
    <n v="3.8642168513524902"/>
    <n v="3.3116434698533599"/>
    <n v="2.7329930011093699"/>
    <n v="122.99999999999979"/>
    <n v="126.27965281015736"/>
    <n v="112.06228868922221"/>
  </r>
  <r>
    <x v="135"/>
    <x v="27"/>
    <n v="4"/>
    <x v="1"/>
    <n v="15"/>
    <n v="4.2"/>
    <n v="4.4008488473039398"/>
    <n v="4.4008488473039398"/>
    <n v="4.3312609717915302"/>
    <n v="4.2199654781621803"/>
    <n v="3.9351685749021401"/>
    <n v="3.6145626869742999"/>
    <n v="63"/>
    <n v="66.012732709559103"/>
    <n v="63.299482172432704"/>
  </r>
  <r>
    <x v="136"/>
    <x v="28"/>
    <n v="314"/>
    <x v="3"/>
    <n v="1"/>
    <n v="5"/>
    <n v="4.5008932663617403"/>
    <n v="4.5008932663617403"/>
    <n v="4.5008932663617403"/>
    <n v="4.5008932663617403"/>
    <n v="4.5008932663617403"/>
    <n v="4.5008932663617403"/>
    <n v="5"/>
    <n v="4.5008932663617403"/>
    <n v="4.5008932663617403"/>
  </r>
  <r>
    <x v="137"/>
    <x v="28"/>
    <n v="314"/>
    <x v="3"/>
    <n v="70"/>
    <n v="4.4285714285714199"/>
    <n v="4.4390973177066204"/>
    <n v="4.4390973177066204"/>
    <n v="4.2911921472331001"/>
    <n v="4.0600742272703698"/>
    <n v="3.5565107927250001"/>
    <n v="2.9955811699602002"/>
    <n v="309.99999999999937"/>
    <n v="310.7368122394634"/>
    <n v="284.20519590892587"/>
  </r>
  <r>
    <x v="138"/>
    <x v="28"/>
    <n v="314"/>
    <x v="3"/>
    <n v="18"/>
    <n v="3.1111111111111098"/>
    <n v="3.8294410156209602"/>
    <n v="3.8294410156209602"/>
    <n v="3.6599556447491399"/>
    <n v="3.40496973249271"/>
    <n v="2.8767802605229198"/>
    <n v="2.30267030376395"/>
    <n v="55.999999999999979"/>
    <n v="68.929938281177286"/>
    <n v="61.289455184868778"/>
  </r>
  <r>
    <x v="139"/>
    <x v="29"/>
    <n v="76"/>
    <x v="0"/>
    <n v="12"/>
    <n v="4.9166666666666599"/>
    <n v="4.6677833919156404"/>
    <n v="4.6677833919156404"/>
    <n v="4.5813889164430401"/>
    <n v="4.4451882015214901"/>
    <n v="4.1132054201650199"/>
    <n v="3.9274931585411599"/>
    <n v="58.999999999999915"/>
    <n v="56.013400702987681"/>
    <n v="53.342258418257885"/>
  </r>
  <r>
    <x v="140"/>
    <x v="30"/>
    <n v="314"/>
    <x v="3"/>
    <n v="4"/>
    <n v="3"/>
    <n v="4.2299482747331796"/>
    <n v="4.2299482747331796"/>
    <n v="4.1334886631049201"/>
    <n v="4.0002086037337801"/>
    <n v="3.7582241966318701"/>
    <n v="3.7491156635263301"/>
    <n v="12"/>
    <n v="16.919793098932718"/>
    <n v="16.00083441493512"/>
  </r>
  <r>
    <x v="141"/>
    <x v="31"/>
    <n v="314"/>
    <x v="3"/>
    <n v="140"/>
    <n v="4.7"/>
    <n v="4.6719922412099697"/>
    <n v="4.6719922412099697"/>
    <n v="4.6038935248885702"/>
    <n v="4.4926045908789796"/>
    <n v="4.2028029389742798"/>
    <n v="3.8708475790675498"/>
    <n v="658"/>
    <n v="654.07891376939574"/>
    <n v="628.96464272305718"/>
  </r>
  <r>
    <x v="142"/>
    <x v="31"/>
    <n v="314"/>
    <x v="3"/>
    <n v="140"/>
    <n v="4.7"/>
    <n v="4.6719922412099697"/>
    <n v="4.6719922412099697"/>
    <n v="4.6038935248885702"/>
    <n v="4.4926045908789796"/>
    <n v="4.2028029389742798"/>
    <n v="3.8708475790675498"/>
    <n v="658"/>
    <n v="654.07891376939574"/>
    <n v="628.96464272305718"/>
  </r>
  <r>
    <x v="143"/>
    <x v="31"/>
    <n v="314"/>
    <x v="3"/>
    <n v="18"/>
    <n v="4.7777777777777697"/>
    <n v="4.6189146998314801"/>
    <n v="4.6189146998314801"/>
    <n v="4.5041188415362301"/>
    <n v="4.3253727655356498"/>
    <n v="3.9159159047548902"/>
    <n v="3.46135470988906"/>
    <n v="85.999999999999858"/>
    <n v="83.140464596966638"/>
    <n v="77.85670977964169"/>
  </r>
  <r>
    <x v="144"/>
    <x v="31"/>
    <n v="314"/>
    <x v="3"/>
    <n v="36"/>
    <n v="4.8333333333333304"/>
    <n v="4.7056921177427897"/>
    <n v="4.7056921177427897"/>
    <n v="4.6751981483514404"/>
    <n v="4.6220638542826604"/>
    <n v="4.4570687439410603"/>
    <n v="4.2604767369956997"/>
    <n v="173.99999999999989"/>
    <n v="169.40491623874044"/>
    <n v="166.39429875417576"/>
  </r>
  <r>
    <x v="145"/>
    <x v="31"/>
    <n v="314"/>
    <x v="3"/>
    <n v="34"/>
    <n v="4.5882352941176396"/>
    <n v="4.5466436776591896"/>
    <n v="4.5466436776591896"/>
    <n v="4.4850776989159797"/>
    <n v="4.3817625520794703"/>
    <n v="4.1047512512552498"/>
    <n v="3.7809529357582199"/>
    <n v="155.99999999999974"/>
    <n v="154.58588504041245"/>
    <n v="148.97992677070198"/>
  </r>
  <r>
    <x v="146"/>
    <x v="31"/>
    <n v="314"/>
    <x v="3"/>
    <n v="34"/>
    <n v="4.5882352941176396"/>
    <n v="4.5466436776591896"/>
    <n v="4.5466436776591896"/>
    <n v="4.4850776989159797"/>
    <n v="4.3817625520794703"/>
    <n v="4.1047512512552498"/>
    <n v="3.7809529357582199"/>
    <n v="155.99999999999974"/>
    <n v="154.58588504041245"/>
    <n v="148.97992677070198"/>
  </r>
  <r>
    <x v="147"/>
    <x v="31"/>
    <n v="314"/>
    <x v="3"/>
    <n v="1"/>
    <n v="5"/>
    <n v="4.5008932663617403"/>
    <n v="4.5008932663617403"/>
    <n v="4.5008932663617403"/>
    <n v="4.5008932663617403"/>
    <n v="4.5008932663617403"/>
    <n v="4.5008932663617403"/>
    <n v="5"/>
    <n v="4.5008932663617403"/>
    <n v="4.5008932663617403"/>
  </r>
  <r>
    <x v="148"/>
    <x v="31"/>
    <n v="314"/>
    <x v="3"/>
    <n v="70"/>
    <n v="4.6285714285714201"/>
    <n v="4.5946528732621799"/>
    <n v="4.5946528732621799"/>
    <n v="4.4845313894310399"/>
    <n v="4.31922992926064"/>
    <n v="3.9494178798375201"/>
    <n v="3.5500133117356798"/>
    <n v="323.99999999999943"/>
    <n v="321.6257011283526"/>
    <n v="302.34609504824482"/>
  </r>
  <r>
    <x v="149"/>
    <x v="31"/>
    <n v="314"/>
    <x v="3"/>
    <n v="35"/>
    <n v="4.6285714285714201"/>
    <n v="4.57306833806539"/>
    <n v="4.57306833806539"/>
    <n v="4.4629468542342501"/>
    <n v="4.2976453940638502"/>
    <n v="3.9278333446407299"/>
    <n v="3.52842877653889"/>
    <n v="161.99999999999972"/>
    <n v="160.05739183228866"/>
    <n v="150.41758879223477"/>
  </r>
  <r>
    <x v="150"/>
    <x v="31"/>
    <n v="314"/>
    <x v="3"/>
    <n v="48"/>
    <n v="4.4166666666666599"/>
    <n v="4.4340993910822997"/>
    <n v="4.4340993910822997"/>
    <n v="4.35102778005096"/>
    <n v="4.2274038571448704"/>
    <n v="3.9349792165067399"/>
    <n v="3.62440694832897"/>
    <n v="211.99999999999966"/>
    <n v="212.8367707719504"/>
    <n v="202.91538514295377"/>
  </r>
  <r>
    <x v="151"/>
    <x v="31"/>
    <n v="314"/>
    <x v="3"/>
    <n v="24"/>
    <n v="4.3333333333333304"/>
    <n v="4.3981536043999201"/>
    <n v="4.3981536043999201"/>
    <n v="4.3536922765207704"/>
    <n v="4.2774405794197499"/>
    <n v="4.0578043186536998"/>
    <n v="3.7974988321570602"/>
    <n v="103.99999999999993"/>
    <n v="105.55568650559809"/>
    <n v="102.658573906074"/>
  </r>
  <r>
    <x v="152"/>
    <x v="31"/>
    <n v="314"/>
    <x v="3"/>
    <n v="6"/>
    <n v="4.8333333333333304"/>
    <n v="4.5584137920614003"/>
    <n v="4.5584137920614003"/>
    <n v="4.50657710677784"/>
    <n v="4.4248566778249101"/>
    <n v="4.2256670090110298"/>
    <n v="4.1882686753741698"/>
    <n v="28.999999999999982"/>
    <n v="27.3504827523684"/>
    <n v="26.549140066949462"/>
  </r>
  <r>
    <x v="153"/>
    <x v="32"/>
    <n v="314"/>
    <x v="3"/>
    <n v="29"/>
    <n v="3.72413793103448"/>
    <n v="4.0309950733387003"/>
    <n v="4.0309950733387003"/>
    <n v="3.9198287302280601"/>
    <n v="3.7661610672479302"/>
    <n v="3.4406915281950599"/>
    <n v="3.1133496185002199"/>
    <n v="107.99999999999991"/>
    <n v="116.89885712682231"/>
    <n v="109.21867095018997"/>
  </r>
  <r>
    <x v="154"/>
    <x v="32"/>
    <n v="314"/>
    <x v="3"/>
    <n v="26"/>
    <n v="4.2307692307692299"/>
    <n v="4.3373643172520904"/>
    <n v="4.3373643172520904"/>
    <n v="4.1935654772681499"/>
    <n v="4.0018060202918697"/>
    <n v="3.6224763526089401"/>
    <n v="3.24929854773338"/>
    <n v="109.99999999999997"/>
    <n v="112.77147224855435"/>
    <n v="104.04695652758861"/>
  </r>
  <r>
    <x v="155"/>
    <x v="32"/>
    <n v="314"/>
    <x v="3"/>
    <n v="93"/>
    <n v="3.8602150537634401"/>
    <n v="3.9691925539256299"/>
    <n v="3.9691925539256299"/>
    <n v="3.8784272725275701"/>
    <n v="3.7409969565241199"/>
    <n v="3.4185102613937799"/>
    <n v="3.0695438337038499"/>
    <n v="358.99999999999994"/>
    <n v="369.13490751508357"/>
    <n v="347.91271695674317"/>
  </r>
  <r>
    <x v="156"/>
    <x v="32"/>
    <n v="314"/>
    <x v="3"/>
    <n v="22"/>
    <n v="3.4545454545454501"/>
    <n v="3.9409228236570599"/>
    <n v="3.9409228236570599"/>
    <n v="3.7653533012408902"/>
    <n v="3.5200271137797499"/>
    <n v="3.0391874918759698"/>
    <n v="2.5430065897056102"/>
    <n v="75.999999999999901"/>
    <n v="86.700302120455319"/>
    <n v="77.440596503154495"/>
  </r>
  <r>
    <x v="157"/>
    <x v="32"/>
    <n v="314"/>
    <x v="3"/>
    <n v="2"/>
    <n v="4"/>
    <n v="4.4326708451634698"/>
    <n v="4.4326708451634698"/>
    <n v="4.4326708451634698"/>
    <n v="4.4326708451634698"/>
    <n v="4.4326708451634698"/>
    <n v="4.4326708451634698"/>
    <n v="8"/>
    <n v="8.8653416903269395"/>
    <n v="8.8653416903269395"/>
  </r>
  <r>
    <x v="158"/>
    <x v="32"/>
    <n v="314"/>
    <x v="3"/>
    <n v="64"/>
    <n v="3.875"/>
    <n v="4.0180804594475701"/>
    <n v="4.0180804594475701"/>
    <n v="3.9022172501215899"/>
    <n v="3.72897194646972"/>
    <n v="3.3440700479007401"/>
    <n v="2.9294421413146998"/>
    <n v="248"/>
    <n v="257.15714940464449"/>
    <n v="238.65420457406208"/>
  </r>
  <r>
    <x v="159"/>
    <x v="32"/>
    <n v="314"/>
    <x v="3"/>
    <n v="141"/>
    <n v="3.95744680851063"/>
    <n v="4.0218556434384798"/>
    <n v="4.0218556434384798"/>
    <n v="3.9215827192844901"/>
    <n v="3.7781881714827201"/>
    <n v="3.4610967269330901"/>
    <n v="3.1335173927012998"/>
    <n v="557.99999999999886"/>
    <n v="567.08164572482565"/>
    <n v="532.72453217906354"/>
  </r>
  <r>
    <x v="160"/>
    <x v="32"/>
    <n v="314"/>
    <x v="3"/>
    <n v="15"/>
    <n v="3.2666666666666599"/>
    <n v="3.9576788169599002"/>
    <n v="3.9576788169599002"/>
    <n v="3.7706352796568199"/>
    <n v="3.5220710222359601"/>
    <n v="3.0574340756737901"/>
    <n v="2.59579123798071"/>
    <n v="48.999999999999901"/>
    <n v="59.365182254398505"/>
    <n v="52.831065333539399"/>
  </r>
  <r>
    <x v="161"/>
    <x v="32"/>
    <n v="314"/>
    <x v="3"/>
    <n v="38"/>
    <n v="2.8947368421052602"/>
    <n v="3.4399785964413199"/>
    <n v="3.4399785964413199"/>
    <n v="3.3620185857277902"/>
    <n v="3.2476426296971801"/>
    <n v="2.9765698732572399"/>
    <n v="2.69336062043255"/>
    <n v="109.99999999999989"/>
    <n v="130.71918666477015"/>
    <n v="123.41041992849284"/>
  </r>
  <r>
    <x v="162"/>
    <x v="33"/>
    <n v="314"/>
    <x v="3"/>
    <n v="16"/>
    <n v="2.5"/>
    <n v="3.5977432942665701"/>
    <n v="3.5977432942665701"/>
    <n v="3.5400333998910201"/>
    <n v="3.45564486615622"/>
    <n v="3.24774926422841"/>
    <n v="3.03426757800854"/>
    <n v="40"/>
    <n v="57.563892708265122"/>
    <n v="55.29031785849952"/>
  </r>
  <r>
    <x v="163"/>
    <x v="33"/>
    <n v="314"/>
    <x v="3"/>
    <n v="9"/>
    <n v="2.6666666666666599"/>
    <n v="3.9144399515033199"/>
    <n v="3.9144399515033199"/>
    <n v="3.7805051706192598"/>
    <n v="3.6154645259956002"/>
    <n v="3.3092201776763299"/>
    <n v="3.3255426769299099"/>
    <n v="23.99999999999994"/>
    <n v="35.229959563529881"/>
    <n v="32.5391807339604"/>
  </r>
  <r>
    <x v="164"/>
    <x v="33"/>
    <n v="314"/>
    <x v="3"/>
    <n v="10"/>
    <n v="3.4"/>
    <n v="4.1172919531198797"/>
    <n v="4.1172919531198797"/>
    <n v="4.0233224376728396"/>
    <n v="3.8965352072860902"/>
    <n v="3.62234192905375"/>
    <n v="3.6104498782199301"/>
    <n v="34"/>
    <n v="41.172919531198801"/>
    <n v="38.965352072860902"/>
  </r>
  <r>
    <x v="165"/>
    <x v="34"/>
    <n v="314"/>
    <x v="3"/>
    <n v="26"/>
    <n v="4.3076923076923004"/>
    <n v="4.3808425781216602"/>
    <n v="4.3808425781216602"/>
    <n v="4.3066367578143296"/>
    <n v="4.2018812056784602"/>
    <n v="3.9579838118934298"/>
    <n v="3.7140477186518299"/>
    <n v="111.99999999999982"/>
    <n v="113.90190703116316"/>
    <n v="109.24891134763996"/>
  </r>
  <r>
    <x v="166"/>
    <x v="34"/>
    <n v="314"/>
    <x v="3"/>
    <n v="20"/>
    <n v="4.2"/>
    <n v="4.3379689648399102"/>
    <n v="4.3379689648399102"/>
    <n v="4.2393009736205203"/>
    <n v="4.0951365444227399"/>
    <n v="3.7687764371638601"/>
    <n v="3.4256532300199898"/>
    <n v="84"/>
    <n v="86.759379296798201"/>
    <n v="81.902730888454798"/>
  </r>
  <r>
    <x v="167"/>
    <x v="34"/>
    <n v="314"/>
    <x v="3"/>
    <n v="12"/>
    <n v="5"/>
    <n v="4.6724612060498902"/>
    <n v="4.6724612060498902"/>
    <n v="4.58606673057729"/>
    <n v="4.4498660156557399"/>
    <n v="4.1178832342992697"/>
    <n v="3.9321709726754199"/>
    <n v="60"/>
    <n v="56.069534472598683"/>
    <n v="53.398392187868879"/>
  </r>
  <r>
    <x v="168"/>
    <x v="34"/>
    <n v="314"/>
    <x v="3"/>
    <n v="20"/>
    <n v="4.6500000000000004"/>
    <n v="4.5629689648399099"/>
    <n v="4.5629689648399099"/>
    <n v="4.4596024978481603"/>
    <n v="4.2980608698393601"/>
    <n v="3.9195339335539399"/>
    <n v="3.49860060755001"/>
    <n v="93"/>
    <n v="91.259379296798201"/>
    <n v="85.961217396787205"/>
  </r>
  <r>
    <x v="169"/>
    <x v="34"/>
    <n v="314"/>
    <x v="3"/>
    <n v="25"/>
    <n v="4.68"/>
    <n v="4.5893057465243601"/>
    <n v="4.5893057465243601"/>
    <n v="4.4468367904047499"/>
    <n v="4.2310129331177198"/>
    <n v="3.76559054766724"/>
    <n v="3.2579636867966602"/>
    <n v="117"/>
    <n v="114.732643663109"/>
    <n v="105.775323327943"/>
  </r>
  <r>
    <x v="170"/>
    <x v="35"/>
    <n v="314"/>
    <x v="3"/>
    <n v="1"/>
    <n v="5"/>
    <n v="4.5008932663617403"/>
    <n v="4.5008932663617403"/>
    <n v="4.5008932663617403"/>
    <n v="4.5008932663617403"/>
    <n v="4.5008932663617403"/>
    <n v="4.5008932663617403"/>
    <n v="5"/>
    <n v="4.5008932663617403"/>
    <n v="4.5008932663617403"/>
  </r>
  <r>
    <x v="171"/>
    <x v="35"/>
    <n v="314"/>
    <x v="3"/>
    <n v="1"/>
    <n v="5"/>
    <n v="4.5008932663617403"/>
    <n v="4.5008932663617403"/>
    <n v="4.5008932663617403"/>
    <n v="4.5008932663617403"/>
    <n v="4.5008932663617403"/>
    <n v="4.5008932663617403"/>
    <n v="5"/>
    <n v="4.5008932663617403"/>
    <n v="4.5008932663617403"/>
  </r>
  <r>
    <x v="172"/>
    <x v="36"/>
    <n v="225"/>
    <x v="2"/>
    <n v="2"/>
    <n v="3"/>
    <n v="4.4071407140714003"/>
    <n v="4.4071407140714003"/>
    <n v="4.3642697755699498"/>
    <n v="4.3152448456716401"/>
    <n v="4.2356046856709302"/>
    <n v="4.2468631770024503"/>
    <n v="6"/>
    <n v="8.8142814281428006"/>
    <n v="8.6304896913432803"/>
  </r>
  <r>
    <x v="173"/>
    <x v="37"/>
    <n v="314"/>
    <x v="3"/>
    <n v="3"/>
    <n v="5"/>
    <n v="4.5442938518954996"/>
    <n v="4.5442938518954996"/>
    <n v="4.5442938518954996"/>
    <n v="4.5442938518954996"/>
    <n v="4.5442938518954996"/>
    <n v="4.5442938518954996"/>
    <n v="15"/>
    <n v="13.632881555686499"/>
    <n v="13.632881555686499"/>
  </r>
  <r>
    <x v="174"/>
    <x v="37"/>
    <n v="314"/>
    <x v="3"/>
    <n v="6"/>
    <n v="4.8333333333333304"/>
    <n v="4.5584137920614003"/>
    <n v="4.5584137920614003"/>
    <n v="4.5584137920614003"/>
    <n v="4.5584137920614003"/>
    <n v="4.5584137920614003"/>
    <n v="4.5584137920614003"/>
    <n v="28.999999999999982"/>
    <n v="27.3504827523684"/>
    <n v="27.3504827523684"/>
  </r>
  <r>
    <x v="175"/>
    <x v="37"/>
    <n v="314"/>
    <x v="3"/>
    <n v="2"/>
    <n v="4"/>
    <n v="4.4326708451634698"/>
    <n v="4.4326708451634698"/>
    <n v="4.4326708451634698"/>
    <n v="4.4326708451634698"/>
    <n v="4.4326708451634698"/>
    <n v="4.4326708451634698"/>
    <n v="8"/>
    <n v="8.8653416903269395"/>
    <n v="8.8653416903269395"/>
  </r>
  <r>
    <x v="176"/>
    <x v="36"/>
    <n v="225"/>
    <x v="2"/>
    <n v="6"/>
    <n v="3.6666666666666599"/>
    <n v="4.3445036811373399"/>
    <n v="4.3445036811373399"/>
    <n v="4.2926669958537804"/>
    <n v="4.2109465669008497"/>
    <n v="4.0117568980869702"/>
    <n v="3.9743585644501001"/>
    <n v="21.999999999999957"/>
    <n v="26.067022086824039"/>
    <n v="25.265679401405098"/>
  </r>
  <r>
    <x v="177"/>
    <x v="36"/>
    <n v="225"/>
    <x v="2"/>
    <n v="57"/>
    <n v="4.2456140350877103"/>
    <n v="4.3241181260983197"/>
    <n v="4.3241181260983197"/>
    <n v="4.2534262818838"/>
    <n v="4.1448295913102404"/>
    <n v="3.87523747854397"/>
    <n v="3.58207349666622"/>
    <n v="241.99999999999949"/>
    <n v="246.47473318760422"/>
    <n v="236.2552867046837"/>
  </r>
  <r>
    <x v="178"/>
    <x v="36"/>
    <n v="225"/>
    <x v="2"/>
    <n v="3"/>
    <n v="1"/>
    <n v="4.0850911178074298"/>
    <n v="4.0850911178074298"/>
    <n v="4.0017807382880397"/>
    <n v="3.9115756344157999"/>
    <n v="3.7793105719510098"/>
    <n v="3.8074822802920001"/>
    <n v="3"/>
    <n v="12.25527335342229"/>
    <n v="11.734726903247399"/>
  </r>
  <r>
    <x v="179"/>
    <x v="36"/>
    <n v="225"/>
    <x v="2"/>
    <n v="12"/>
    <n v="3.0833333333333299"/>
    <n v="3.99865924092409"/>
    <n v="3.99865924092409"/>
    <n v="3.9541422668273198"/>
    <n v="3.87994383101451"/>
    <n v="3.6693627315346902"/>
    <n v="3.5406280273669801"/>
    <n v="36.999999999999957"/>
    <n v="47.983910891089081"/>
    <n v="46.559325972174122"/>
  </r>
  <r>
    <x v="180"/>
    <x v="38"/>
    <n v="225"/>
    <x v="2"/>
    <n v="9"/>
    <n v="4.8888888888888804"/>
    <n v="4.6536929555024402"/>
    <n v="4.6536929555024402"/>
    <n v="4.5503766830367196"/>
    <n v="4.3895052146361904"/>
    <n v="4.0209940399335098"/>
    <n v="3.9591569615369901"/>
    <n v="43.999999999999922"/>
    <n v="41.883236599521965"/>
    <n v="39.505546931725711"/>
  </r>
  <r>
    <x v="181"/>
    <x v="38"/>
    <n v="225"/>
    <x v="2"/>
    <n v="1"/>
    <n v="5"/>
    <n v="4.5693855099795604"/>
    <n v="4.5693855099795604"/>
    <n v="4.5693855099795604"/>
    <n v="4.5693855099795604"/>
    <n v="4.5693855099795604"/>
    <n v="4.5693855099795604"/>
    <n v="5"/>
    <n v="4.5693855099795604"/>
    <n v="4.5693855099795604"/>
  </r>
  <r>
    <x v="182"/>
    <x v="38"/>
    <n v="225"/>
    <x v="2"/>
    <n v="1"/>
    <n v="5"/>
    <n v="4.5693855099795604"/>
    <n v="4.5693855099795604"/>
    <n v="4.5693855099795604"/>
    <n v="4.5693855099795604"/>
    <n v="4.5693855099795604"/>
    <n v="4.5693855099795604"/>
    <n v="5"/>
    <n v="4.5693855099795604"/>
    <n v="4.5693855099795604"/>
  </r>
  <r>
    <x v="183"/>
    <x v="38"/>
    <n v="314"/>
    <x v="3"/>
    <n v="1"/>
    <n v="5"/>
    <n v="4.5008932663617403"/>
    <n v="4.5008932663617403"/>
    <n v="4.5008932663617403"/>
    <n v="4.5008932663617403"/>
    <n v="4.5008932663617403"/>
    <n v="4.5008932663617403"/>
    <n v="5"/>
    <n v="4.5008932663617403"/>
    <n v="4.5008932663617403"/>
  </r>
  <r>
    <x v="184"/>
    <x v="39"/>
    <n v="314"/>
    <x v="3"/>
    <n v="34"/>
    <n v="4.4117647058823497"/>
    <n v="4.4355325665480798"/>
    <n v="4.4355325665480798"/>
    <n v="4.3139658648180603"/>
    <n v="4.1249699219428404"/>
    <n v="3.69730729386441"/>
    <n v="3.22285444136641"/>
    <n v="149.99999999999989"/>
    <n v="150.80810726263471"/>
    <n v="140.24897734605656"/>
  </r>
  <r>
    <x v="185"/>
    <x v="39"/>
    <n v="314"/>
    <x v="3"/>
    <n v="2"/>
    <n v="5"/>
    <n v="4.5235799360725704"/>
    <n v="4.5235799360725704"/>
    <n v="4.5235799360725704"/>
    <n v="4.5235799360725704"/>
    <n v="4.5235799360725704"/>
    <n v="4.5235799360725704"/>
    <n v="10"/>
    <n v="9.0471598721451407"/>
    <n v="9.0471598721451407"/>
  </r>
  <r>
    <x v="186"/>
    <x v="40"/>
    <n v="225"/>
    <x v="2"/>
    <n v="9"/>
    <n v="4.1111111111111098"/>
    <n v="4.4123136451576102"/>
    <n v="4.4123136451576102"/>
    <n v="4.3141631863151702"/>
    <n v="4.17214297164284"/>
    <n v="3.8587020940348"/>
    <n v="3.8246293425714599"/>
    <n v="36.999999999999986"/>
    <n v="39.710822806418491"/>
    <n v="37.549286744785562"/>
  </r>
  <r>
    <x v="187"/>
    <x v="40"/>
    <n v="225"/>
    <x v="2"/>
    <n v="33"/>
    <n v="4.0606060606060597"/>
    <n v="4.2444735039541603"/>
    <n v="4.2444735039541603"/>
    <n v="4.1225838077497503"/>
    <n v="3.94017382663406"/>
    <n v="3.5374654989027898"/>
    <n v="3.1030796785094399"/>
    <n v="133.99999999999997"/>
    <n v="140.0676256304873"/>
    <n v="130.02573627892397"/>
  </r>
  <r>
    <x v="188"/>
    <x v="41"/>
    <n v="314"/>
    <x v="3"/>
    <n v="14"/>
    <n v="5"/>
    <n v="4.6917281939293103"/>
    <n v="4.6917281939293103"/>
    <n v="4.6173518238861"/>
    <n v="4.4989741483332804"/>
    <n v="4.2005880716734998"/>
    <n v="3.9206806689904798"/>
    <n v="70"/>
    <n v="65.684194715010349"/>
    <n v="62.985638076665921"/>
  </r>
  <r>
    <x v="189"/>
    <x v="41"/>
    <n v="314"/>
    <x v="3"/>
    <n v="21"/>
    <n v="4.71428571428571"/>
    <n v="4.5980185022828399"/>
    <n v="4.5980185022828399"/>
    <n v="4.3847764608349697"/>
    <n v="4.0757990701417697"/>
    <n v="3.4810028953528098"/>
    <n v="2.8491579819629602"/>
    <n v="98.999999999999915"/>
    <n v="96.558388547939643"/>
    <n v="85.591780472977163"/>
  </r>
  <r>
    <x v="190"/>
    <x v="41"/>
    <n v="314"/>
    <x v="3"/>
    <n v="6"/>
    <n v="5"/>
    <n v="4.5968753305229404"/>
    <n v="4.5968753305229404"/>
    <n v="4.5968753305229404"/>
    <n v="4.5968753305229404"/>
    <n v="4.5968753305229404"/>
    <n v="4.5968753305229404"/>
    <n v="30"/>
    <n v="27.581251983137641"/>
    <n v="27.581251983137641"/>
  </r>
  <r>
    <x v="191"/>
    <x v="41"/>
    <n v="314"/>
    <x v="3"/>
    <n v="12"/>
    <n v="4.75"/>
    <n v="4.5787112060498902"/>
    <n v="4.5787112060498902"/>
    <n v="4.5787112060498902"/>
    <n v="4.5787112060498902"/>
    <n v="4.5787112060498902"/>
    <n v="4.5787112060498902"/>
    <n v="57"/>
    <n v="54.944534472598683"/>
    <n v="54.944534472598683"/>
  </r>
  <r>
    <x v="192"/>
    <x v="41"/>
    <n v="314"/>
    <x v="3"/>
    <n v="12"/>
    <n v="4.75"/>
    <n v="4.5787112060498902"/>
    <n v="4.5787112060498902"/>
    <n v="4.5787112060498902"/>
    <n v="4.5787112060498902"/>
    <n v="4.5787112060498902"/>
    <n v="4.5787112060498902"/>
    <n v="57"/>
    <n v="54.944534472598683"/>
    <n v="54.944534472598683"/>
  </r>
  <r>
    <x v="193"/>
    <x v="42"/>
    <n v="76"/>
    <x v="0"/>
    <n v="13"/>
    <n v="4.6923076923076898"/>
    <n v="4.5869414709485001"/>
    <n v="4.5869414709485001"/>
    <n v="4.5869414709485001"/>
    <n v="4.5869414709485001"/>
    <n v="4.5869414709485001"/>
    <n v="4.5869414709485001"/>
    <n v="60.999999999999972"/>
    <n v="59.630239122330501"/>
    <n v="59.630239122330501"/>
  </r>
  <r>
    <x v="194"/>
    <x v="43"/>
    <n v="314"/>
    <x v="3"/>
    <n v="8"/>
    <n v="4.25"/>
    <n v="4.4113842354855901"/>
    <n v="4.4113842354855901"/>
    <n v="4.4113842354855901"/>
    <n v="4.4113842354855901"/>
    <n v="4.4113842354855901"/>
    <n v="4.4113842354855901"/>
    <n v="34"/>
    <n v="35.291073883884721"/>
    <n v="35.291073883884721"/>
  </r>
  <r>
    <x v="195"/>
    <x v="43"/>
    <n v="314"/>
    <x v="3"/>
    <n v="4"/>
    <n v="5"/>
    <n v="4.5632816080665197"/>
    <n v="4.5632816080665197"/>
    <n v="4.5632816080665197"/>
    <n v="4.5632816080665197"/>
    <n v="4.5632816080665197"/>
    <n v="4.5632816080665197"/>
    <n v="20"/>
    <n v="18.253126432266079"/>
    <n v="18.253126432266079"/>
  </r>
  <r>
    <x v="196"/>
    <x v="43"/>
    <n v="314"/>
    <x v="3"/>
    <n v="62"/>
    <n v="4.67741935483871"/>
    <n v="4.62827754382434"/>
    <n v="4.62827754382434"/>
    <n v="4.5458523993920803"/>
    <n v="4.4184401006099696"/>
    <n v="4.1090611830614998"/>
    <n v="3.7693510679173201"/>
    <n v="290"/>
    <n v="286.95320771710908"/>
    <n v="273.94328623781814"/>
  </r>
  <r>
    <x v="197"/>
    <x v="43"/>
    <n v="314"/>
    <x v="3"/>
    <n v="62"/>
    <n v="4.67741935483871"/>
    <n v="4.62827754382434"/>
    <n v="4.62827754382434"/>
    <n v="4.5458523993920803"/>
    <n v="4.4184401006099696"/>
    <n v="4.1090611830614998"/>
    <n v="3.7693510679173201"/>
    <n v="290"/>
    <n v="286.95320771710908"/>
    <n v="273.94328623781814"/>
  </r>
  <r>
    <x v="198"/>
    <x v="43"/>
    <n v="314"/>
    <x v="3"/>
    <n v="24"/>
    <n v="4.5416666666666599"/>
    <n v="4.5117899680362799"/>
    <n v="4.5117899680362799"/>
    <n v="4.46638265445758"/>
    <n v="4.3885085808224904"/>
    <n v="4.1641992081252504"/>
    <n v="3.8983553070223"/>
    <n v="108.99999999999983"/>
    <n v="108.28295923287072"/>
    <n v="105.32420593973977"/>
  </r>
  <r>
    <x v="199"/>
    <x v="43"/>
    <n v="314"/>
    <x v="3"/>
    <n v="24"/>
    <n v="4.5416666666666599"/>
    <n v="4.5117899680362799"/>
    <n v="4.5117899680362799"/>
    <n v="4.46638265445758"/>
    <n v="4.3885085808224904"/>
    <n v="4.1641992081252504"/>
    <n v="3.8983553070223"/>
    <n v="108.99999999999983"/>
    <n v="108.28295923287072"/>
    <n v="105.32420593973977"/>
  </r>
  <r>
    <x v="200"/>
    <x v="43"/>
    <n v="314"/>
    <x v="3"/>
    <n v="4"/>
    <n v="5"/>
    <n v="4.5632816080665197"/>
    <n v="4.5632816080665197"/>
    <n v="4.5632816080665197"/>
    <n v="4.5632816080665197"/>
    <n v="4.5632816080665197"/>
    <n v="4.5632816080665197"/>
    <n v="20"/>
    <n v="18.253126432266079"/>
    <n v="18.253126432266079"/>
  </r>
  <r>
    <x v="201"/>
    <x v="44"/>
    <n v="76"/>
    <x v="0"/>
    <n v="5"/>
    <n v="3.6"/>
    <n v="4.3347627416520202"/>
    <n v="4.3347627416520202"/>
    <n v="4.2470860835412001"/>
    <n v="4.1425828322149902"/>
    <n v="3.9596607661161398"/>
    <n v="3.9763712734996002"/>
    <n v="18"/>
    <n v="21.673813708260102"/>
    <n v="20.712914161074952"/>
  </r>
  <r>
    <x v="202"/>
    <x v="44"/>
    <n v="76"/>
    <x v="0"/>
    <n v="5"/>
    <n v="3.6"/>
    <n v="4.3347627416520202"/>
    <n v="4.3347627416520202"/>
    <n v="4.2470860835412001"/>
    <n v="4.1425828322149902"/>
    <n v="3.9596607661161398"/>
    <n v="3.9763712734996002"/>
    <n v="18"/>
    <n v="21.673813708260102"/>
    <n v="20.712914161074952"/>
  </r>
  <r>
    <x v="203"/>
    <x v="44"/>
    <n v="76"/>
    <x v="0"/>
    <n v="10"/>
    <n v="3.6"/>
    <n v="4.2123022847100096"/>
    <n v="4.2123022847100096"/>
    <n v="4.0369489684883799"/>
    <n v="3.82794246583595"/>
    <n v="3.4620983336382598"/>
    <n v="3.4955193484051801"/>
    <n v="36"/>
    <n v="42.123022847100096"/>
    <n v="38.279424658359503"/>
  </r>
  <r>
    <x v="204"/>
    <x v="45"/>
    <n v="4"/>
    <x v="1"/>
    <n v="30"/>
    <n v="4.5333333333333297"/>
    <n v="4.54059419311276"/>
    <n v="4.54059419311276"/>
    <n v="4.4555288634166601"/>
    <n v="4.3243588653013001"/>
    <n v="4.0081993402321601"/>
    <n v="3.6614995409805702"/>
    <n v="135.99999999999989"/>
    <n v="136.21782579338281"/>
    <n v="129.73076595903899"/>
  </r>
  <r>
    <x v="205"/>
    <x v="46"/>
    <n v="314"/>
    <x v="3"/>
    <n v="204"/>
    <n v="4.4705882352941098"/>
    <n v="4.4710658865785504"/>
    <n v="4.4710658865785504"/>
    <n v="4.3510987467133999"/>
    <n v="4.1678975906543902"/>
    <n v="3.7569131771345701"/>
    <n v="3.3068948864041499"/>
    <n v="911.99999999999841"/>
    <n v="912.09744086202431"/>
    <n v="850.25110849349562"/>
  </r>
  <r>
    <x v="206"/>
    <x v="46"/>
    <n v="314"/>
    <x v="3"/>
    <n v="210"/>
    <n v="4.6428571428571397"/>
    <n v="4.6283424286678096"/>
    <n v="4.6283424286678096"/>
    <n v="4.5555173371997899"/>
    <n v="4.4407170174992503"/>
    <n v="4.1527619556632898"/>
    <n v="3.83211784169016"/>
    <n v="974.99999999999932"/>
    <n v="971.95191002024001"/>
    <n v="932.55057367484255"/>
  </r>
  <r>
    <x v="207"/>
    <x v="46"/>
    <n v="314"/>
    <x v="3"/>
    <n v="108"/>
    <n v="4.6388888888888804"/>
    <n v="4.6134278015124703"/>
    <n v="4.6134278015124703"/>
    <n v="4.4607698142713303"/>
    <n v="4.2314852897621398"/>
    <n v="3.7480096232414701"/>
    <n v="3.22343956472116"/>
    <n v="500.99999999999909"/>
    <n v="498.25020256334682"/>
    <n v="457.00041129431111"/>
  </r>
  <r>
    <x v="208"/>
    <x v="46"/>
    <n v="314"/>
    <x v="3"/>
    <n v="108"/>
    <n v="4.6388888888888804"/>
    <n v="4.6134278015124703"/>
    <n v="4.6134278015124703"/>
    <n v="4.4607698142713303"/>
    <n v="4.2314852897621398"/>
    <n v="3.7480096232414701"/>
    <n v="3.22343956472116"/>
    <n v="500.99999999999909"/>
    <n v="498.25020256334682"/>
    <n v="457.00041129431111"/>
  </r>
  <r>
    <x v="209"/>
    <x v="46"/>
    <n v="314"/>
    <x v="3"/>
    <n v="75"/>
    <n v="4.68"/>
    <n v="4.6370395641431204"/>
    <n v="4.6370395641431204"/>
    <n v="4.53758222899397"/>
    <n v="4.3860832954792599"/>
    <n v="4.0355762948979601"/>
    <n v="3.6535632020072502"/>
    <n v="351"/>
    <n v="347.77796731073403"/>
    <n v="328.95624716094449"/>
  </r>
  <r>
    <x v="210"/>
    <x v="46"/>
    <n v="314"/>
    <x v="3"/>
    <n v="201"/>
    <n v="4.7761194029850698"/>
    <n v="4.7489536587945498"/>
    <n v="4.7489536587945498"/>
    <n v="4.6283241355848599"/>
    <n v="4.4408506652803403"/>
    <n v="4.0179769365448896"/>
    <n v="3.54890625823462"/>
    <n v="959.99999999999898"/>
    <n v="954.5396854177045"/>
    <n v="892.61098372134836"/>
  </r>
  <r>
    <x v="211"/>
    <x v="46"/>
    <n v="314"/>
    <x v="3"/>
    <n v="188"/>
    <n v="4.5957446808510598"/>
    <n v="4.58422480093075"/>
    <n v="4.58422480093075"/>
    <n v="4.4786110336535003"/>
    <n v="4.3205535998616096"/>
    <n v="3.9624834975899699"/>
    <n v="3.5773231233219498"/>
    <n v="863.9999999999992"/>
    <n v="861.83426257498104"/>
    <n v="812.26407677398265"/>
  </r>
  <r>
    <x v="212"/>
    <x v="46"/>
    <n v="314"/>
    <x v="3"/>
    <n v="284"/>
    <n v="4.7042253521126698"/>
    <n v="4.6892064427420896"/>
    <n v="4.6892064427420896"/>
    <n v="4.58296531899735"/>
    <n v="4.4201663872405703"/>
    <n v="4.0464106577636603"/>
    <n v="3.6367152910846801"/>
    <n v="1335.9999999999982"/>
    <n v="1331.7346297387535"/>
    <n v="1255.327253976322"/>
  </r>
  <r>
    <x v="213"/>
    <x v="46"/>
    <n v="314"/>
    <x v="3"/>
    <n v="272"/>
    <n v="4.7205882352941098"/>
    <n v="4.7038313650465602"/>
    <n v="4.7038313650465602"/>
    <n v="4.6290267056377399"/>
    <n v="4.5101975155652498"/>
    <n v="4.2125617352558704"/>
    <n v="3.8787800571908901"/>
    <n v="1283.999999999998"/>
    <n v="1279.4421312926643"/>
    <n v="1226.773724233748"/>
  </r>
  <r>
    <x v="214"/>
    <x v="46"/>
    <n v="314"/>
    <x v="3"/>
    <n v="272"/>
    <n v="4.7205882352941098"/>
    <n v="4.7038313650465602"/>
    <n v="4.7038313650465602"/>
    <n v="4.6290267056377399"/>
    <n v="4.5101975155652498"/>
    <n v="4.2125617352558704"/>
    <n v="3.8787800571908901"/>
    <n v="1283.999999999998"/>
    <n v="1279.4421312926643"/>
    <n v="1226.773724233748"/>
  </r>
  <r>
    <x v="215"/>
    <x v="46"/>
    <n v="314"/>
    <x v="3"/>
    <n v="7"/>
    <n v="4.4285714285714199"/>
    <n v="4.4636577256887602"/>
    <n v="4.4636577256887602"/>
    <n v="4.4115942666585104"/>
    <n v="4.3287298937715404"/>
    <n v="4.1198596401096896"/>
    <n v="4.0781339632193401"/>
    <n v="30.99999999999994"/>
    <n v="31.245604079821319"/>
    <n v="30.301109256400782"/>
  </r>
  <r>
    <x v="216"/>
    <x v="46"/>
    <n v="314"/>
    <x v="3"/>
    <n v="7"/>
    <n v="4.4285714285714199"/>
    <n v="4.4636577256887602"/>
    <n v="4.4636577256887602"/>
    <n v="4.4115942666585104"/>
    <n v="4.3287298937715404"/>
    <n v="4.1198596401096896"/>
    <n v="4.0781339632193401"/>
    <n v="30.99999999999994"/>
    <n v="31.245604079821319"/>
    <n v="30.301109256400782"/>
  </r>
  <r>
    <x v="217"/>
    <x v="46"/>
    <n v="314"/>
    <x v="3"/>
    <n v="4"/>
    <n v="4.75"/>
    <n v="4.5216149413998501"/>
    <n v="4.5216149413998501"/>
    <n v="4.5216149413998501"/>
    <n v="4.5216149413998501"/>
    <n v="4.5216149413998501"/>
    <n v="4.5216149413998501"/>
    <n v="19"/>
    <n v="18.0864597655994"/>
    <n v="18.0864597655994"/>
  </r>
  <r>
    <x v="218"/>
    <x v="46"/>
    <n v="314"/>
    <x v="3"/>
    <n v="21"/>
    <n v="4.5714285714285703"/>
    <n v="4.5248477705755201"/>
    <n v="4.5248477705755201"/>
    <n v="4.5248477705755201"/>
    <n v="4.5248477705755201"/>
    <n v="4.5248477705755201"/>
    <n v="4.5248477705755201"/>
    <n v="95.999999999999972"/>
    <n v="95.021803182085918"/>
    <n v="95.021803182085918"/>
  </r>
  <r>
    <x v="219"/>
    <x v="46"/>
    <n v="314"/>
    <x v="3"/>
    <n v="207"/>
    <n v="4.6521739130434696"/>
    <n v="4.63664651362817"/>
    <n v="4.63664651362817"/>
    <n v="4.5617375035328003"/>
    <n v="4.4437802680654004"/>
    <n v="4.1488499284848697"/>
    <n v="3.8206382855845802"/>
    <n v="962.99999999999818"/>
    <n v="959.7858283210312"/>
    <n v="919.86251548953783"/>
  </r>
  <r>
    <x v="220"/>
    <x v="46"/>
    <n v="314"/>
    <x v="3"/>
    <n v="276"/>
    <n v="4.6521739130434696"/>
    <n v="4.6402660763297101"/>
    <n v="4.6402660763297101"/>
    <n v="4.5653570662343403"/>
    <n v="4.4473998307669396"/>
    <n v="4.1524694911864097"/>
    <n v="3.8242578482861198"/>
    <n v="1283.9999999999977"/>
    <n v="1280.7134370670001"/>
    <n v="1227.4823532916753"/>
  </r>
  <r>
    <x v="221"/>
    <x v="46"/>
    <n v="314"/>
    <x v="3"/>
    <n v="34"/>
    <n v="4.7647058823529402"/>
    <n v="4.6577547887703004"/>
    <n v="4.6577547887703004"/>
    <n v="4.62657954615067"/>
    <n v="4.5714851259057196"/>
    <n v="4.4006795452436203"/>
    <n v="4.19408374090672"/>
    <n v="161.99999999999997"/>
    <n v="158.36366281819022"/>
    <n v="155.43049428079448"/>
  </r>
  <r>
    <x v="222"/>
    <x v="46"/>
    <n v="314"/>
    <x v="3"/>
    <n v="148"/>
    <n v="4.7837837837837798"/>
    <n v="4.7471354678190201"/>
    <n v="4.7471354678190201"/>
    <n v="4.7182359184936598"/>
    <n v="4.6667389015394498"/>
    <n v="4.5041874741460797"/>
    <n v="4.3064219032870303"/>
    <n v="707.99999999999943"/>
    <n v="702.57604923721499"/>
    <n v="690.67735742783861"/>
  </r>
  <r>
    <x v="223"/>
    <x v="46"/>
    <n v="314"/>
    <x v="3"/>
    <n v="148"/>
    <n v="4.7837837837837798"/>
    <n v="4.7471354678190201"/>
    <n v="4.7471354678190201"/>
    <n v="4.7182359184936598"/>
    <n v="4.6667389015394498"/>
    <n v="4.5041874741460797"/>
    <n v="4.3064219032870303"/>
    <n v="707.99999999999943"/>
    <n v="702.57604923721499"/>
    <n v="690.67735742783861"/>
  </r>
  <r>
    <x v="224"/>
    <x v="46"/>
    <n v="314"/>
    <x v="3"/>
    <n v="207"/>
    <n v="4.6521739130434696"/>
    <n v="4.63664651362817"/>
    <n v="4.63664651362817"/>
    <n v="4.5617375035328003"/>
    <n v="4.4437802680654004"/>
    <n v="4.1488499284848697"/>
    <n v="3.8206382855845802"/>
    <n v="962.99999999999818"/>
    <n v="959.7858283210312"/>
    <n v="919.86251548953783"/>
  </r>
  <r>
    <x v="225"/>
    <x v="46"/>
    <n v="314"/>
    <x v="3"/>
    <n v="207"/>
    <n v="4.6521739130434696"/>
    <n v="4.63664651362817"/>
    <n v="4.63664651362817"/>
    <n v="4.5617375035328003"/>
    <n v="4.4437802680654004"/>
    <n v="4.1488499284848697"/>
    <n v="3.8206382855845802"/>
    <n v="962.99999999999818"/>
    <n v="959.7858283210312"/>
    <n v="919.86251548953783"/>
  </r>
  <r>
    <x v="226"/>
    <x v="46"/>
    <n v="314"/>
    <x v="3"/>
    <n v="138"/>
    <n v="4.6521739130434696"/>
    <n v="4.6298655607189598"/>
    <n v="4.6298655607189598"/>
    <n v="4.5549565506235901"/>
    <n v="4.4369993151561902"/>
    <n v="4.1420689755756603"/>
    <n v="3.81385733267537"/>
    <n v="641.99999999999886"/>
    <n v="638.92144737921649"/>
    <n v="612.3059054915542"/>
  </r>
  <r>
    <x v="227"/>
    <x v="46"/>
    <n v="225"/>
    <x v="2"/>
    <n v="7"/>
    <n v="4.2857142857142803"/>
    <n v="4.4798924336878096"/>
    <n v="4.4798924336878096"/>
    <n v="4.4312998719262504"/>
    <n v="4.3618305807602402"/>
    <n v="4.1967645985050499"/>
    <n v="4.1800406184338197"/>
    <n v="29.999999999999961"/>
    <n v="31.359247035814668"/>
    <n v="30.532814065321681"/>
  </r>
  <r>
    <x v="228"/>
    <x v="46"/>
    <n v="225"/>
    <x v="2"/>
    <n v="8"/>
    <n v="4.875"/>
    <n v="4.6413248467703898"/>
    <n v="4.6413248467703898"/>
    <n v="4.5890012092032304"/>
    <n v="4.5049103557844496"/>
    <n v="4.2866642296650497"/>
    <n v="4.2406310040980104"/>
    <n v="39"/>
    <n v="37.130598774163118"/>
    <n v="36.039282846275597"/>
  </r>
  <r>
    <x v="229"/>
    <x v="46"/>
    <n v="225"/>
    <x v="2"/>
    <n v="5"/>
    <n v="4.5999999999999996"/>
    <n v="4.5582838283828302"/>
    <n v="4.5582838283828302"/>
    <n v="4.5582838283828302"/>
    <n v="4.5582838283828302"/>
    <n v="4.5582838283828302"/>
    <n v="4.5582838283828302"/>
    <n v="23"/>
    <n v="22.791419141914151"/>
    <n v="22.791419141914151"/>
  </r>
  <r>
    <x v="230"/>
    <x v="46"/>
    <n v="225"/>
    <x v="2"/>
    <n v="28"/>
    <n v="4.5357142857142803"/>
    <n v="4.5407728272827201"/>
    <n v="4.5407728272827201"/>
    <n v="4.4853274249161101"/>
    <n v="4.3950797586396897"/>
    <n v="4.1527821606734596"/>
    <n v="3.8771427191256298"/>
    <n v="126.99999999999984"/>
    <n v="127.14163916391617"/>
    <n v="123.06223324191131"/>
  </r>
  <r>
    <x v="231"/>
    <x v="46"/>
    <n v="225"/>
    <x v="2"/>
    <n v="1"/>
    <n v="5"/>
    <n v="4.5693855099795604"/>
    <n v="4.5693855099795604"/>
    <n v="4.5693855099795604"/>
    <n v="4.5693855099795604"/>
    <n v="4.5693855099795604"/>
    <n v="4.5693855099795604"/>
    <n v="5"/>
    <n v="4.5693855099795604"/>
    <n v="4.5693855099795604"/>
  </r>
  <r>
    <x v="232"/>
    <x v="46"/>
    <n v="225"/>
    <x v="2"/>
    <n v="11"/>
    <n v="5"/>
    <n v="4.70829340998616"/>
    <n v="4.70829340998616"/>
    <n v="4.61420803250825"/>
    <n v="4.4665523052054699"/>
    <n v="4.1133699581318703"/>
    <n v="3.98341097437708"/>
    <n v="55"/>
    <n v="51.791227509847758"/>
    <n v="49.13207535726017"/>
  </r>
  <r>
    <x v="233"/>
    <x v="46"/>
    <n v="225"/>
    <x v="2"/>
    <n v="36"/>
    <n v="4.8888888888888804"/>
    <n v="4.7670909948137599"/>
    <n v="4.7670909948137599"/>
    <n v="4.6806965193411703"/>
    <n v="4.5444958044196104"/>
    <n v="4.2125130230631402"/>
    <n v="3.8417282030956699"/>
    <n v="175.99999999999969"/>
    <n v="171.61527581329534"/>
    <n v="163.60184895910598"/>
  </r>
  <r>
    <x v="234"/>
    <x v="46"/>
    <n v="225"/>
    <x v="2"/>
    <n v="3"/>
    <n v="5"/>
    <n v="4.6068302482422103"/>
    <n v="4.6068302482422103"/>
    <n v="4.6068302482422103"/>
    <n v="4.6068302482422103"/>
    <n v="4.6068302482422103"/>
    <n v="4.6068302482422103"/>
    <n v="15"/>
    <n v="13.82049074472663"/>
    <n v="13.82049074472663"/>
  </r>
  <r>
    <x v="235"/>
    <x v="46"/>
    <n v="225"/>
    <x v="2"/>
    <n v="4"/>
    <n v="5"/>
    <n v="4.6232123212321197"/>
    <n v="4.6232123212321197"/>
    <n v="4.6232123212321197"/>
    <n v="4.6232123212321197"/>
    <n v="4.6232123212321197"/>
    <n v="4.6232123212321197"/>
    <n v="20"/>
    <n v="18.492849284928479"/>
    <n v="18.492849284928479"/>
  </r>
  <r>
    <x v="236"/>
    <x v="46"/>
    <n v="225"/>
    <x v="2"/>
    <n v="8"/>
    <n v="5"/>
    <n v="4.6770391324846701"/>
    <n v="4.6770391324846701"/>
    <n v="4.6770391324846701"/>
    <n v="4.6770391324846701"/>
    <n v="4.6770391324846701"/>
    <n v="4.6770391324846701"/>
    <n v="40"/>
    <n v="37.416313059877361"/>
    <n v="37.416313059877361"/>
  </r>
  <r>
    <x v="237"/>
    <x v="46"/>
    <n v="225"/>
    <x v="2"/>
    <n v="6"/>
    <n v="3.5"/>
    <n v="4.3060421426757998"/>
    <n v="4.3060421426757998"/>
    <n v="4.2018706464326403"/>
    <n v="4.0402862088911604"/>
    <n v="3.7008223688488102"/>
    <n v="3.6517118375942301"/>
    <n v="21"/>
    <n v="25.836252856054799"/>
    <n v="24.241717253346962"/>
  </r>
  <r>
    <x v="238"/>
    <x v="46"/>
    <n v="225"/>
    <x v="2"/>
    <n v="1"/>
    <n v="4"/>
    <n v="4.52176646236052"/>
    <n v="4.52176646236052"/>
    <n v="4.52176646236052"/>
    <n v="4.52176646236052"/>
    <n v="4.52176646236052"/>
    <n v="4.52176646236052"/>
    <n v="4"/>
    <n v="4.52176646236052"/>
    <n v="4.52176646236052"/>
  </r>
  <r>
    <x v="239"/>
    <x v="47"/>
    <n v="314"/>
    <x v="3"/>
    <n v="78"/>
    <n v="3.07692307692307"/>
    <n v="3.36243631217955"/>
    <n v="3.36243631217955"/>
    <n v="3.1995961289018102"/>
    <n v="2.98055362833471"/>
    <n v="2.5555147129721001"/>
    <n v="2.13143041777372"/>
    <n v="239.99999999999946"/>
    <n v="262.2700323500049"/>
    <n v="232.48318301010738"/>
  </r>
  <r>
    <x v="240"/>
    <x v="47"/>
    <n v="314"/>
    <x v="3"/>
    <n v="268"/>
    <n v="3.16417910447761"/>
    <n v="3.2552734673388701"/>
    <n v="3.2552734673388701"/>
    <n v="3.0975911012421098"/>
    <n v="2.87601530875585"/>
    <n v="2.4309254560317699"/>
    <n v="1.97091898126983"/>
    <n v="847.99999999999943"/>
    <n v="872.41328924681716"/>
    <n v="770.77210274656784"/>
  </r>
  <r>
    <x v="241"/>
    <x v="47"/>
    <n v="314"/>
    <x v="3"/>
    <n v="30"/>
    <n v="3.6"/>
    <n v="3.9503751718719302"/>
    <n v="3.9503751718719302"/>
    <n v="3.89833958818443"/>
    <n v="3.8151309527819102"/>
    <n v="3.5911754121660602"/>
    <n v="3.3411096760128198"/>
    <n v="108"/>
    <n v="118.5112551561579"/>
    <n v="114.4539285834573"/>
  </r>
  <r>
    <x v="242"/>
    <x v="47"/>
    <n v="314"/>
    <x v="3"/>
    <n v="64"/>
    <n v="3.375"/>
    <n v="3.63712807849519"/>
    <n v="3.63712807849519"/>
    <n v="3.49314403910931"/>
    <n v="3.2859115879153999"/>
    <n v="2.8600609816750699"/>
    <n v="2.4120947431657198"/>
    <n v="216"/>
    <n v="232.77619702369216"/>
    <n v="210.2983416265856"/>
  </r>
  <r>
    <x v="243"/>
    <x v="47"/>
    <n v="225"/>
    <x v="2"/>
    <n v="1"/>
    <n v="3"/>
    <n v="4.4741474147414699"/>
    <n v="4.4741474147414699"/>
    <n v="4.4341474147414699"/>
    <n v="4.3941474147414699"/>
    <n v="4.34414741474147"/>
    <n v="4.3608140814081402"/>
    <n v="3"/>
    <n v="4.4741474147414699"/>
    <n v="4.3941474147414699"/>
  </r>
  <r>
    <x v="244"/>
    <x v="47"/>
    <n v="314"/>
    <x v="3"/>
    <n v="138"/>
    <n v="3.4782608695652102"/>
    <n v="3.6045491050227598"/>
    <n v="3.6045491050227598"/>
    <n v="3.4846064637431402"/>
    <n v="3.3134696950376399"/>
    <n v="2.9460742750346101"/>
    <n v="2.5650630400830101"/>
    <n v="479.99999999999903"/>
    <n v="497.42777649314087"/>
    <n v="457.2588179151943"/>
  </r>
  <r>
    <x v="245"/>
    <x v="47"/>
    <n v="314"/>
    <x v="3"/>
    <n v="64"/>
    <n v="4.03125"/>
    <n v="4.1371280784951896"/>
    <n v="4.1371280784951896"/>
    <n v="4.0456904196882402"/>
    <n v="3.9143769343867501"/>
    <n v="3.6163386240145301"/>
    <n v="3.3089912861263202"/>
    <n v="258"/>
    <n v="264.77619702369213"/>
    <n v="250.520123800752"/>
  </r>
  <r>
    <x v="246"/>
    <x v="47"/>
    <n v="314"/>
    <x v="3"/>
    <n v="24"/>
    <n v="3.1666666666666599"/>
    <n v="3.7617899680362799"/>
    <n v="3.7617899680362799"/>
    <n v="3.6825950321863998"/>
    <n v="3.5577443768416401"/>
    <n v="3.2534268272648799"/>
    <n v="2.9135407422947002"/>
    <n v="75.999999999999829"/>
    <n v="90.282959232870724"/>
    <n v="85.385865044199363"/>
  </r>
  <r>
    <x v="247"/>
    <x v="47"/>
    <n v="314"/>
    <x v="3"/>
    <n v="272"/>
    <n v="3.1764705882352899"/>
    <n v="3.2654752006629999"/>
    <n v="3.2654752006629999"/>
    <n v="3.1301092914573898"/>
    <n v="2.9388365671499401"/>
    <n v="2.54047377381819"/>
    <n v="2.1289977999405099"/>
    <n v="863.99999999999886"/>
    <n v="888.20925458033594"/>
    <n v="799.36354626478374"/>
  </r>
  <r>
    <x v="248"/>
    <x v="47"/>
    <n v="314"/>
    <x v="3"/>
    <n v="10"/>
    <n v="3.6"/>
    <n v="4.1839586197865497"/>
    <n v="4.1839586197865497"/>
    <n v="4.0805921527948001"/>
    <n v="3.9190505247859901"/>
    <n v="3.5405235885005801"/>
    <n v="3.4743797149266098"/>
    <n v="36"/>
    <n v="41.839586197865501"/>
    <n v="39.190505247859903"/>
  </r>
  <r>
    <x v="249"/>
    <x v="47"/>
    <n v="314"/>
    <x v="3"/>
    <n v="6"/>
    <n v="5"/>
    <n v="4.5968753305229404"/>
    <n v="4.5968753305229404"/>
    <n v="4.4361093111425003"/>
    <n v="4.1833439227240099"/>
    <n v="3.6963111814204401"/>
    <n v="3.6352101081092298"/>
    <n v="30"/>
    <n v="27.581251983137641"/>
    <n v="25.100063536344059"/>
  </r>
  <r>
    <x v="250"/>
    <x v="47"/>
    <n v="314"/>
    <x v="3"/>
    <n v="38"/>
    <n v="4.0526315789473601"/>
    <n v="4.1985992860964902"/>
    <n v="4.1985992860964902"/>
    <n v="4.0624737468004399"/>
    <n v="3.8512865171294499"/>
    <n v="3.38470974553716"/>
    <n v="2.86752737141759"/>
    <n v="153.99999999999969"/>
    <n v="159.54677287166663"/>
    <n v="146.3488876509191"/>
  </r>
  <r>
    <x v="251"/>
    <x v="47"/>
    <n v="314"/>
    <x v="3"/>
    <n v="32"/>
    <n v="4.4375"/>
    <n v="4.4522838191076204"/>
    <n v="4.4522838191076204"/>
    <n v="4.2635581306072803"/>
    <n v="3.98460373127722"/>
    <n v="3.42610385414129"/>
    <n v="2.8256695367906701"/>
    <n v="142"/>
    <n v="142.47308221144385"/>
    <n v="127.50731940087104"/>
  </r>
  <r>
    <x v="252"/>
    <x v="47"/>
    <n v="314"/>
    <x v="3"/>
    <n v="50"/>
    <n v="3.92"/>
    <n v="4.0788394084799497"/>
    <n v="4.0788394084799497"/>
    <n v="3.9181774730294299"/>
    <n v="3.6801527940707501"/>
    <n v="3.1864133404471602"/>
    <n v="2.6555748793076601"/>
    <n v="196"/>
    <n v="203.94197042399747"/>
    <n v="184.00763970353751"/>
  </r>
  <r>
    <x v="253"/>
    <x v="47"/>
    <n v="314"/>
    <x v="3"/>
    <n v="5"/>
    <n v="4.5999999999999996"/>
    <n v="4.5007503437438601"/>
    <n v="4.5007503437438601"/>
    <n v="4.44906711024798"/>
    <n v="4.3682962962435798"/>
    <n v="4.17903282810087"/>
    <n v="4.1459608913138899"/>
    <n v="23"/>
    <n v="22.5037517187193"/>
    <n v="21.841481481217897"/>
  </r>
  <r>
    <x v="254"/>
    <x v="47"/>
    <n v="314"/>
    <x v="3"/>
    <n v="30"/>
    <n v="4.0999999999999996"/>
    <n v="4.25037517187193"/>
    <n v="4.25037517187193"/>
    <n v="4.1186935106283"/>
    <n v="3.9224709713446901"/>
    <n v="3.4984602470897501"/>
    <n v="3.0418322352620502"/>
    <n v="122.99999999999999"/>
    <n v="127.5112551561579"/>
    <n v="117.67412914034071"/>
  </r>
  <r>
    <x v="255"/>
    <x v="47"/>
    <n v="314"/>
    <x v="3"/>
    <n v="15"/>
    <n v="3.93333333333333"/>
    <n v="4.2433931026741796"/>
    <n v="4.2433931026741796"/>
    <n v="4.0755612476157497"/>
    <n v="3.8152307649100301"/>
    <n v="3.2683168003973599"/>
    <n v="2.6620948653937102"/>
    <n v="58.99999999999995"/>
    <n v="63.650896540112697"/>
    <n v="57.228461473650455"/>
  </r>
  <r>
    <x v="256"/>
    <x v="47"/>
    <n v="314"/>
    <x v="3"/>
    <n v="13"/>
    <n v="4"/>
    <n v="4.2884472301089804"/>
    <n v="4.2884472301089804"/>
    <n v="4.2085332697780196"/>
    <n v="4.0819533388283702"/>
    <n v="3.7680056716742301"/>
    <n v="3.5327463893765101"/>
    <n v="52"/>
    <n v="55.749813991416744"/>
    <n v="53.065393404768813"/>
  </r>
  <r>
    <x v="257"/>
    <x v="47"/>
    <n v="314"/>
    <x v="3"/>
    <n v="10"/>
    <n v="2.9"/>
    <n v="3.9506252864532101"/>
    <n v="3.9506252864532101"/>
    <n v="3.8017365632164899"/>
    <n v="3.5842145111298702"/>
    <n v="3.1299724829901701"/>
    <n v="3.0815721618783498"/>
    <n v="29"/>
    <n v="39.506252864532101"/>
    <n v="35.842145111298706"/>
  </r>
  <r>
    <x v="258"/>
    <x v="47"/>
    <n v="314"/>
    <x v="3"/>
    <n v="5"/>
    <n v="3.4"/>
    <n v="4.2607503437438599"/>
    <n v="4.2607503437438599"/>
    <n v="4.1470900875957701"/>
    <n v="4.0215160136022297"/>
    <n v="3.8301775188954199"/>
    <n v="3.8657060424307002"/>
    <n v="17"/>
    <n v="21.303751718719298"/>
    <n v="20.107580068011149"/>
  </r>
  <r>
    <x v="259"/>
    <x v="47"/>
    <n v="314"/>
    <x v="3"/>
    <n v="6"/>
    <n v="4"/>
    <n v="4.3661060997537096"/>
    <n v="4.3661060997537096"/>
    <n v="4.3661060997537096"/>
    <n v="4.3661060997537096"/>
    <n v="4.3661060997537096"/>
    <n v="4.3661060997537096"/>
    <n v="24"/>
    <n v="26.196636598522257"/>
    <n v="26.196636598522257"/>
  </r>
  <r>
    <x v="260"/>
    <x v="47"/>
    <n v="314"/>
    <x v="3"/>
    <n v="6"/>
    <n v="4"/>
    <n v="4.3661060997537096"/>
    <n v="4.3661060997537096"/>
    <n v="4.3661060997537096"/>
    <n v="4.3661060997537096"/>
    <n v="4.3661060997537096"/>
    <n v="4.3661060997537096"/>
    <n v="24"/>
    <n v="26.196636598522257"/>
    <n v="26.196636598522257"/>
  </r>
  <r>
    <x v="261"/>
    <x v="48"/>
    <n v="76"/>
    <x v="0"/>
    <n v="38"/>
    <n v="4.5789473684210504"/>
    <n v="4.5580873886431101"/>
    <n v="4.5580873886431101"/>
    <n v="4.5580873886431101"/>
    <n v="4.5580873886431101"/>
    <n v="4.5580873886431101"/>
    <n v="4.5580873886431101"/>
    <n v="173.99999999999991"/>
    <n v="173.20732076843819"/>
    <n v="173.20732076843819"/>
  </r>
  <r>
    <x v="262"/>
    <x v="49"/>
    <n v="76"/>
    <x v="0"/>
    <n v="54"/>
    <n v="3.74074074074074"/>
    <n v="3.9509333586662199"/>
    <n v="3.9509333586662199"/>
    <n v="3.8363855161142002"/>
    <n v="3.6540969020999499"/>
    <n v="3.2322038806751001"/>
    <n v="2.75654691130398"/>
    <n v="201.99999999999997"/>
    <n v="213.35040136797588"/>
    <n v="197.32123271339728"/>
  </r>
  <r>
    <x v="263"/>
    <x v="50"/>
    <n v="225"/>
    <x v="2"/>
    <n v="4"/>
    <n v="5"/>
    <n v="4.6232123212321197"/>
    <n v="4.6232123212321197"/>
    <n v="4.5779823235041102"/>
    <n v="4.50775537903949"/>
    <n v="4.3508932231510498"/>
    <n v="4.3257123212321202"/>
    <n v="20"/>
    <n v="18.492849284928479"/>
    <n v="18.03102151615796"/>
  </r>
  <r>
    <x v="264"/>
    <x v="50"/>
    <n v="225"/>
    <x v="2"/>
    <n v="7"/>
    <n v="5"/>
    <n v="4.6650776188729903"/>
    <n v="4.6650776188729903"/>
    <n v="4.6130141598427503"/>
    <n v="4.5301497869557803"/>
    <n v="4.3212795332939304"/>
    <n v="4.27955385640358"/>
    <n v="35"/>
    <n v="32.655543332110931"/>
    <n v="31.71104850869046"/>
  </r>
  <r>
    <x v="265"/>
    <x v="50"/>
    <n v="225"/>
    <x v="2"/>
    <n v="1"/>
    <n v="5"/>
    <n v="4.5693855099795604"/>
    <n v="4.5693855099795604"/>
    <n v="4.5693855099795604"/>
    <n v="4.5693855099795604"/>
    <n v="4.5693855099795604"/>
    <n v="4.5693855099795604"/>
    <n v="5"/>
    <n v="4.5693855099795604"/>
    <n v="4.5693855099795604"/>
  </r>
  <r>
    <x v="266"/>
    <x v="51"/>
    <n v="314"/>
    <x v="3"/>
    <n v="1"/>
    <n v="5"/>
    <n v="4.5008932663617403"/>
    <n v="4.5008932663617403"/>
    <n v="4.5008932663617403"/>
    <n v="4.5008932663617403"/>
    <n v="4.5008932663617403"/>
    <n v="4.5008932663617403"/>
    <n v="5"/>
    <n v="4.5008932663617403"/>
    <n v="4.5008932663617403"/>
  </r>
  <r>
    <x v="267"/>
    <x v="51"/>
    <n v="314"/>
    <x v="3"/>
    <n v="6"/>
    <n v="5"/>
    <n v="4.5968753305229404"/>
    <n v="4.5968753305229404"/>
    <n v="4.5968753305229404"/>
    <n v="4.5968753305229404"/>
    <n v="4.5968753305229404"/>
    <n v="4.5968753305229404"/>
    <n v="30"/>
    <n v="27.581251983137641"/>
    <n v="27.581251983137641"/>
  </r>
  <r>
    <x v="268"/>
    <x v="51"/>
    <n v="314"/>
    <x v="3"/>
    <n v="1"/>
    <n v="5"/>
    <n v="4.5008932663617403"/>
    <n v="4.5008932663617403"/>
    <n v="4.5008932663617403"/>
    <n v="4.5008932663617403"/>
    <n v="4.5008932663617403"/>
    <n v="4.5008932663617403"/>
    <n v="5"/>
    <n v="4.5008932663617403"/>
    <n v="4.5008932663617403"/>
  </r>
  <r>
    <x v="269"/>
    <x v="52"/>
    <n v="76"/>
    <x v="0"/>
    <n v="9"/>
    <n v="4.6666666666666599"/>
    <n v="4.56445063935519"/>
    <n v="4.56445063935519"/>
    <n v="4.56445063935519"/>
    <n v="4.56445063935519"/>
    <n v="4.56445063935519"/>
    <n v="4.56445063935519"/>
    <n v="41.999999999999936"/>
    <n v="41.080055754196707"/>
    <n v="41.080055754196707"/>
  </r>
  <r>
    <x v="270"/>
    <x v="53"/>
    <n v="314"/>
    <x v="3"/>
    <n v="20"/>
    <n v="4.3499999999999996"/>
    <n v="4.4129689648399104"/>
    <n v="4.4129689648399104"/>
    <n v="4.3368081777681704"/>
    <n v="4.2200585480258201"/>
    <n v="3.9340126009581602"/>
    <n v="3.6228803622135999"/>
    <n v="87"/>
    <n v="88.259379296798215"/>
    <n v="84.401170960516396"/>
  </r>
  <r>
    <x v="271"/>
    <x v="53"/>
    <n v="314"/>
    <x v="3"/>
    <n v="3"/>
    <n v="5"/>
    <n v="4.5442938518954996"/>
    <n v="4.5442938518954996"/>
    <n v="4.4922081037739101"/>
    <n v="4.4114158850031799"/>
    <n v="4.2416839649820002"/>
    <n v="4.2171286993547099"/>
    <n v="15"/>
    <n v="13.632881555686499"/>
    <n v="13.23424765500954"/>
  </r>
  <r>
    <x v="272"/>
    <x v="54"/>
    <n v="4"/>
    <x v="1"/>
    <n v="7"/>
    <n v="4.2857142857142803"/>
    <n v="4.4825818390977004"/>
    <n v="4.4825818390977004"/>
    <n v="4.4825818390977004"/>
    <n v="4.4825818390977004"/>
    <n v="4.4825818390977004"/>
    <n v="4.4825818390977004"/>
    <n v="29.999999999999961"/>
    <n v="31.378072873683902"/>
    <n v="31.378072873683902"/>
  </r>
  <r>
    <x v="273"/>
    <x v="55"/>
    <n v="314"/>
    <x v="3"/>
    <n v="13"/>
    <n v="4.0769230769230704"/>
    <n v="4.3187502604120098"/>
    <n v="4.3187502604120098"/>
    <n v="4.2759254294275602"/>
    <n v="4.2001506637965198"/>
    <n v="3.9753868836872002"/>
    <n v="3.7843890713817099"/>
    <n v="52.999999999999915"/>
    <n v="56.143753385356128"/>
    <n v="54.601958629354755"/>
  </r>
  <r>
    <x v="274"/>
    <x v="55"/>
    <n v="314"/>
    <x v="3"/>
    <n v="27"/>
    <n v="4.5925925925925899"/>
    <n v="4.5429523105020504"/>
    <n v="4.5429523105020504"/>
    <n v="4.39175305000742"/>
    <n v="4.1622494691629903"/>
    <n v="3.67269718546686"/>
    <n v="3.1377717749301399"/>
    <n v="123.99999999999993"/>
    <n v="122.65971238355536"/>
    <n v="112.38073566740074"/>
  </r>
  <r>
    <x v="275"/>
    <x v="55"/>
    <n v="314"/>
    <x v="3"/>
    <n v="27"/>
    <n v="4.5925925925925899"/>
    <n v="4.5429523105020504"/>
    <n v="4.5429523105020504"/>
    <n v="4.39175305000742"/>
    <n v="4.1622494691629903"/>
    <n v="3.67269718546686"/>
    <n v="3.1377717749301399"/>
    <n v="123.99999999999993"/>
    <n v="122.65971238355536"/>
    <n v="112.38073566740074"/>
  </r>
  <r>
    <x v="276"/>
    <x v="55"/>
    <n v="314"/>
    <x v="3"/>
    <n v="54"/>
    <n v="4.8518518518518503"/>
    <n v="4.7502534945080601"/>
    <n v="4.7502534945080601"/>
    <n v="4.6918117961063404"/>
    <n v="4.5969847958497496"/>
    <n v="4.3444230382848303"/>
    <n v="4.0576609019154599"/>
    <n v="261.99999999999994"/>
    <n v="256.51368870343526"/>
    <n v="248.23717897588648"/>
  </r>
  <r>
    <x v="277"/>
    <x v="55"/>
    <n v="314"/>
    <x v="3"/>
    <n v="66"/>
    <n v="4.6818181818181799"/>
    <n v="4.6339390534139104"/>
    <n v="4.6339390534139104"/>
    <n v="4.4901926216357504"/>
    <n v="4.2728805685104598"/>
    <n v="3.81716955431637"/>
    <n v="3.3203643758785701"/>
    <n v="308.99999999999989"/>
    <n v="305.83997752531809"/>
    <n v="282.01011752169035"/>
  </r>
  <r>
    <x v="278"/>
    <x v="55"/>
    <n v="314"/>
    <x v="3"/>
    <n v="27"/>
    <n v="4.1111111111111098"/>
    <n v="4.2663565658211997"/>
    <n v="4.2663565658211997"/>
    <n v="4.1525173396784103"/>
    <n v="3.9639194213951798"/>
    <n v="3.5194203460523199"/>
    <n v="3.0049129870377902"/>
    <n v="110.99999999999997"/>
    <n v="115.19162727717239"/>
    <n v="107.02582437766985"/>
  </r>
  <r>
    <x v="279"/>
    <x v="55"/>
    <n v="314"/>
    <x v="3"/>
    <n v="60"/>
    <n v="4.6500000000000004"/>
    <n v="4.6064844824199502"/>
    <n v="4.6064844824199502"/>
    <n v="4.5536096151245999"/>
    <n v="4.4670138814833704"/>
    <n v="4.2309574609092699"/>
    <n v="3.9613798397456002"/>
    <n v="279"/>
    <n v="276.38906894519704"/>
    <n v="268.02083288900224"/>
  </r>
  <r>
    <x v="280"/>
    <x v="55"/>
    <n v="314"/>
    <x v="3"/>
    <n v="51"/>
    <n v="4.5882352941176396"/>
    <n v="4.5566022337126197"/>
    <n v="4.5566022337126197"/>
    <n v="4.4679227979471801"/>
    <n v="4.3285449481860203"/>
    <n v="3.99300180643605"/>
    <n v="3.61882642449739"/>
    <n v="233.99999999999963"/>
    <n v="232.38671391934361"/>
    <n v="220.75579235748702"/>
  </r>
  <r>
    <x v="281"/>
    <x v="55"/>
    <n v="314"/>
    <x v="3"/>
    <n v="84"/>
    <n v="4.5238095238095202"/>
    <n v="4.5146034480153503"/>
    <n v="4.5146034480153503"/>
    <n v="4.4428046717487701"/>
    <n v="4.3303588816147798"/>
    <n v="4.0492585002477597"/>
    <n v="3.73801930063743"/>
    <n v="379.99999999999972"/>
    <n v="379.22668963328942"/>
    <n v="363.75014605564149"/>
  </r>
  <r>
    <x v="282"/>
    <x v="55"/>
    <n v="314"/>
    <x v="3"/>
    <n v="82"/>
    <n v="4.6585365853658498"/>
    <n v="4.6227329273882001"/>
    <n v="4.6227329273882001"/>
    <n v="4.5146854393062004"/>
    <n v="4.3489020793622197"/>
    <n v="3.9709187600510401"/>
    <n v="3.55593420820307"/>
    <n v="381.99999999999966"/>
    <n v="379.06410004583239"/>
    <n v="356.60997050770203"/>
  </r>
  <r>
    <x v="283"/>
    <x v="55"/>
    <n v="314"/>
    <x v="3"/>
    <n v="142"/>
    <n v="4.35211267605633"/>
    <n v="4.36739974440491"/>
    <n v="4.36739974440491"/>
    <n v="4.2701867302293399"/>
    <n v="4.1236529782123501"/>
    <n v="3.7855220318694101"/>
    <n v="3.4203053539629198"/>
    <n v="617.99999999999886"/>
    <n v="620.17076370549717"/>
    <n v="585.55872290615366"/>
  </r>
  <r>
    <x v="284"/>
    <x v="55"/>
    <n v="314"/>
    <x v="3"/>
    <n v="66"/>
    <n v="4.7272727272727204"/>
    <n v="4.6688227743441404"/>
    <n v="4.6688227743441404"/>
    <n v="4.5124463142011999"/>
    <n v="4.2802109862581901"/>
    <n v="3.7973317455303901"/>
    <n v="3.2773185784834298"/>
    <n v="311.99999999999955"/>
    <n v="308.14230310671326"/>
    <n v="282.49392509304056"/>
  </r>
  <r>
    <x v="285"/>
    <x v="55"/>
    <n v="314"/>
    <x v="3"/>
    <n v="42"/>
    <n v="3.9285714285714199"/>
    <n v="4.1051412676386496"/>
    <n v="4.1051412676386496"/>
    <n v="3.9756028011620002"/>
    <n v="3.8114875174390099"/>
    <n v="3.4920819101718799"/>
    <n v="3.1964530451364102"/>
    <n v="164.99999999999963"/>
    <n v="172.41593324082328"/>
    <n v="160.08247573243841"/>
  </r>
  <r>
    <x v="286"/>
    <x v="55"/>
    <n v="314"/>
    <x v="3"/>
    <n v="1"/>
    <n v="5"/>
    <n v="4.5008932663617403"/>
    <n v="4.5008932663617403"/>
    <n v="4.4408932663617398"/>
    <n v="4.3408932663617401"/>
    <n v="4.1758932663617401"/>
    <n v="4.1608932663617404"/>
    <n v="5"/>
    <n v="4.5008932663617403"/>
    <n v="4.3408932663617401"/>
  </r>
  <r>
    <x v="287"/>
    <x v="55"/>
    <n v="314"/>
    <x v="3"/>
    <n v="232"/>
    <n v="4.6120689655172402"/>
    <n v="4.6012649150539504"/>
    <n v="4.6012649150539504"/>
    <n v="4.5182999713170604"/>
    <n v="4.3906836821407396"/>
    <n v="4.0854276269760001"/>
    <n v="3.75111643888477"/>
    <n v="1069.9999999999998"/>
    <n v="1067.4934602925166"/>
    <n v="1018.6386142566516"/>
  </r>
  <r>
    <x v="288"/>
    <x v="55"/>
    <n v="314"/>
    <x v="3"/>
    <n v="278"/>
    <n v="4.63669064748201"/>
    <n v="4.6259018744751499"/>
    <n v="4.6259018744751499"/>
    <n v="4.5356914971826701"/>
    <n v="4.3926033117486698"/>
    <n v="4.0464955597315697"/>
    <n v="3.65778265273658"/>
    <n v="1288.9999999999989"/>
    <n v="1286.0007211040918"/>
    <n v="1221.1437206661301"/>
  </r>
  <r>
    <x v="289"/>
    <x v="55"/>
    <n v="314"/>
    <x v="3"/>
    <n v="178"/>
    <n v="4.5224719101123503"/>
    <n v="4.5177715080484599"/>
    <n v="4.5177715080484599"/>
    <n v="4.4311276013218102"/>
    <n v="4.3004107231486097"/>
    <n v="3.9914581831421598"/>
    <n v="3.6586612118967201"/>
    <n v="804.99999999999829"/>
    <n v="804.16332843262592"/>
    <n v="765.4731087204525"/>
  </r>
  <r>
    <x v="290"/>
    <x v="55"/>
    <n v="314"/>
    <x v="3"/>
    <n v="3"/>
    <n v="5"/>
    <n v="4.5442938518954996"/>
    <n v="4.5442938518954996"/>
    <n v="4.3642938518954999"/>
    <n v="4.0642938518955001"/>
    <n v="3.5692938518955"/>
    <n v="3.5242938518955"/>
    <n v="15"/>
    <n v="13.632881555686499"/>
    <n v="12.192881555686501"/>
  </r>
  <r>
    <x v="291"/>
    <x v="55"/>
    <n v="314"/>
    <x v="3"/>
    <n v="15"/>
    <n v="5"/>
    <n v="4.7005359598170404"/>
    <n v="4.7005359598170404"/>
    <n v="4.6075061395244701"/>
    <n v="4.4621186743165397"/>
    <n v="4.1214444316596701"/>
    <n v="3.7426044382561301"/>
    <n v="75"/>
    <n v="70.508039397255601"/>
    <n v="66.931780114748094"/>
  </r>
  <r>
    <x v="292"/>
    <x v="55"/>
    <n v="314"/>
    <x v="3"/>
    <n v="23"/>
    <n v="4.6086956521739104"/>
    <n v="4.5469478742696801"/>
    <n v="4.5469478742696801"/>
    <n v="4.3526049606918003"/>
    <n v="4.0707670662676501"/>
    <n v="3.51685994359761"/>
    <n v="2.92869470430499"/>
    <n v="105.99999999999994"/>
    <n v="104.57980110820264"/>
    <n v="93.627642524155945"/>
  </r>
  <r>
    <x v="293"/>
    <x v="55"/>
    <n v="314"/>
    <x v="3"/>
    <n v="7"/>
    <n v="4.71428571428571"/>
    <n v="4.5377317997628301"/>
    <n v="4.5377317997628301"/>
    <n v="4.4415032246658903"/>
    <n v="4.2923211656674196"/>
    <n v="3.9684623964008301"/>
    <n v="3.91895839110654"/>
    <n v="32.999999999999972"/>
    <n v="31.76412259833981"/>
    <n v="30.046248159671936"/>
  </r>
  <r>
    <x v="294"/>
    <x v="55"/>
    <n v="225"/>
    <x v="2"/>
    <n v="9"/>
    <n v="4.8888888888888804"/>
    <n v="4.6536929555024402"/>
    <n v="4.6536929555024402"/>
    <n v="4.5503766830367196"/>
    <n v="4.3895052146361904"/>
    <n v="4.0209940399335098"/>
    <n v="3.9591569615369901"/>
    <n v="43.999999999999922"/>
    <n v="41.883236599521965"/>
    <n v="39.505546931725711"/>
  </r>
  <r>
    <x v="295"/>
    <x v="19"/>
    <n v="76"/>
    <x v="0"/>
    <n v="3"/>
    <n v="3.3333333333333299"/>
    <n v="4.3638725452739298"/>
    <n v="4.3638725452739298"/>
    <n v="4.3638725452739298"/>
    <n v="4.3638725452739298"/>
    <n v="4.3638725452739298"/>
    <n v="4.3638725452739298"/>
    <n v="9.9999999999999893"/>
    <n v="13.091617635821789"/>
    <n v="13.091617635821789"/>
  </r>
  <r>
    <x v="296"/>
    <x v="56"/>
    <n v="4"/>
    <x v="1"/>
    <n v="12"/>
    <n v="4.5833333333333304"/>
    <n v="4.5634284267386898"/>
    <n v="4.5634284267386898"/>
    <n v="4.4441712016886497"/>
    <n v="4.2683717966908601"/>
    <n v="3.8855778579221698"/>
    <n v="3.6945395378498"/>
    <n v="54.999999999999964"/>
    <n v="54.761141120864281"/>
    <n v="51.220461560290317"/>
  </r>
  <r>
    <x v="297"/>
    <x v="57"/>
    <n v="314"/>
    <x v="3"/>
    <n v="6"/>
    <n v="3.3333333333333299"/>
    <n v="4.2122599459075598"/>
    <n v="4.2122599459075598"/>
    <n v="4.2122599459075598"/>
    <n v="4.2122599459075598"/>
    <n v="4.2122599459075598"/>
    <n v="4.2122599459075598"/>
    <n v="19.999999999999979"/>
    <n v="25.273559675445359"/>
    <n v="25.273559675445359"/>
  </r>
  <r>
    <x v="298"/>
    <x v="57"/>
    <n v="314"/>
    <x v="3"/>
    <n v="18"/>
    <n v="4.8888888888888804"/>
    <n v="4.67154627877885"/>
    <n v="4.67154627877885"/>
    <n v="4.61310458037714"/>
    <n v="4.5182775801205501"/>
    <n v="4.2657158225556202"/>
    <n v="3.97895368618626"/>
    <n v="87.999999999999844"/>
    <n v="84.087833018019296"/>
    <n v="81.32899644216991"/>
  </r>
  <r>
    <x v="299"/>
    <x v="57"/>
    <n v="314"/>
    <x v="3"/>
    <n v="10"/>
    <n v="5"/>
    <n v="4.6506252864532103"/>
    <n v="4.6506252864532103"/>
    <n v="4.3551086204681999"/>
    <n v="3.8850754300000001"/>
    <n v="3.0144485520291702"/>
    <n v="2.9124303606753199"/>
    <n v="50"/>
    <n v="46.506252864532101"/>
    <n v="38.850754299999998"/>
  </r>
  <r>
    <x v="300"/>
    <x v="58"/>
    <n v="76"/>
    <x v="0"/>
    <n v="4"/>
    <n v="5"/>
    <n v="4.5987111892208503"/>
    <n v="4.5987111892208503"/>
    <n v="4.5987111892208503"/>
    <n v="4.5987111892208503"/>
    <n v="4.5987111892208503"/>
    <n v="4.5987111892208503"/>
    <n v="20"/>
    <n v="18.394844756883401"/>
    <n v="18.394844756883401"/>
  </r>
  <r>
    <x v="301"/>
    <x v="59"/>
    <n v="76"/>
    <x v="0"/>
    <n v="6"/>
    <n v="3.6666666666666599"/>
    <n v="4.3218872515884801"/>
    <n v="4.3218872515884801"/>
    <n v="4.2474790399862199"/>
    <n v="4.1557897929730796"/>
    <n v="3.9856540439068202"/>
    <n v="3.9947220990476899"/>
    <n v="21.999999999999957"/>
    <n v="25.931323509530881"/>
    <n v="24.9347387578384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99FAB-957E-4A24-9948-0AD6CDCBB153}" name="Зведена таблиця2" cacheId="13" applyNumberFormats="0" applyBorderFormats="0" applyFontFormats="0" applyPatternFormats="0" applyAlignmentFormats="0" applyWidthHeightFormats="1" dataCaption="Значення" updatedVersion="8" minRefreshableVersion="3" itemPrintTitles="1" createdVersion="8" indent="0" outline="1" outlineData="1" multipleFieldFilters="0">
  <location ref="A3:E48" firstHeaderRow="0" firstDataRow="1" firstDataCol="1"/>
  <pivotFields count="18">
    <pivotField axis="axisRow" showAll="0" sortType="descending">
      <items count="309">
        <item x="0"/>
        <item x="1"/>
        <item x="2"/>
        <item x="3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303"/>
        <item x="5"/>
        <item x="6"/>
        <item x="40"/>
        <item x="38"/>
        <item x="39"/>
        <item x="41"/>
        <item x="30"/>
        <item x="31"/>
        <item m="1" x="304"/>
        <item x="42"/>
        <item x="33"/>
        <item x="43"/>
        <item x="44"/>
        <item x="45"/>
        <item x="34"/>
        <item x="35"/>
        <item x="46"/>
        <item x="36"/>
        <item x="37"/>
        <item x="47"/>
        <item x="48"/>
        <item x="49"/>
        <item x="50"/>
        <item x="52"/>
        <item x="57"/>
        <item x="51"/>
        <item x="66"/>
        <item x="53"/>
        <item x="54"/>
        <item x="55"/>
        <item x="56"/>
        <item x="61"/>
        <item m="1" x="305"/>
        <item x="58"/>
        <item x="59"/>
        <item m="1" x="306"/>
        <item x="64"/>
        <item x="60"/>
        <item x="65"/>
        <item x="67"/>
        <item x="68"/>
        <item x="69"/>
        <item x="70"/>
        <item x="71"/>
        <item x="72"/>
        <item x="73"/>
        <item x="81"/>
        <item x="82"/>
        <item x="83"/>
        <item x="74"/>
        <item x="75"/>
        <item x="76"/>
        <item x="84"/>
        <item x="85"/>
        <item x="86"/>
        <item x="87"/>
        <item x="88"/>
        <item x="77"/>
        <item x="89"/>
        <item x="78"/>
        <item x="79"/>
        <item x="90"/>
        <item x="91"/>
        <item x="92"/>
        <item x="93"/>
        <item x="94"/>
        <item x="95"/>
        <item x="96"/>
        <item x="97"/>
        <item x="98"/>
        <item x="99"/>
        <item x="8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m="1" x="302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3"/>
        <item x="174"/>
        <item x="175"/>
        <item x="170"/>
        <item x="171"/>
        <item x="176"/>
        <item x="177"/>
        <item x="172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m="1" x="307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6"/>
        <item x="247"/>
        <item x="248"/>
        <item x="249"/>
        <item x="244"/>
        <item x="250"/>
        <item x="24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300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1"/>
        <item x="29"/>
        <item x="32"/>
        <item x="62"/>
        <item x="63"/>
        <item x="20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axis="axisRow" showAll="0" sortType="descending">
      <items count="62">
        <item sd="0" x="0"/>
        <item sd="0" x="4"/>
        <item sd="0" x="59"/>
        <item sd="0" x="1"/>
        <item sd="0" x="5"/>
        <item sd="0" x="6"/>
        <item sd="0" x="7"/>
        <item sd="0" x="2"/>
        <item sd="0" x="3"/>
        <item sd="0" x="10"/>
        <item sd="0" x="11"/>
        <item sd="0" x="8"/>
        <item sd="0" x="9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m="1" x="60"/>
        <item sd="0" x="24"/>
        <item sd="0" x="25"/>
        <item sd="0" x="26"/>
        <item sd="0" x="27"/>
        <item sd="0" x="28"/>
        <item sd="0" x="29"/>
        <item sd="0" x="31"/>
        <item sd="0" x="32"/>
        <item sd="0" x="33"/>
        <item sd="0" x="34"/>
        <item sd="0" x="37"/>
        <item sd="0" x="35"/>
        <item sd="0" x="36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30"/>
        <item sd="0" x="47"/>
        <item sd="0" x="48"/>
        <item sd="0" x="49"/>
        <item sd="0" x="50"/>
        <item sd="0" x="51"/>
        <item sd="0" x="52"/>
        <item sd="0" x="53"/>
        <item sd="0" x="54"/>
        <item sd="0" x="58"/>
        <item sd="0" x="55"/>
        <item sd="0" x="56"/>
        <item sd="0" x="57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axis="axisRow" showAll="0">
      <items count="5">
        <item sd="0" x="1"/>
        <item sd="0" x="2"/>
        <item x="0"/>
        <item x="3"/>
        <item t="default" sd="0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3"/>
    <field x="1"/>
    <field x="0"/>
  </rowFields>
  <rowItems count="45">
    <i>
      <x/>
    </i>
    <i>
      <x v="1"/>
    </i>
    <i>
      <x v="2"/>
    </i>
    <i r="1">
      <x v="57"/>
    </i>
    <i r="1">
      <x v="43"/>
    </i>
    <i r="1">
      <x v="54"/>
    </i>
    <i r="1">
      <x v="50"/>
    </i>
    <i r="1">
      <x v="3"/>
    </i>
    <i r="1">
      <x v="26"/>
    </i>
    <i r="1">
      <x v="31"/>
    </i>
    <i r="1">
      <x v="4"/>
    </i>
    <i r="1">
      <x v="23"/>
    </i>
    <i r="1">
      <x v="22"/>
    </i>
    <i r="1">
      <x v="20"/>
    </i>
    <i r="1">
      <x/>
    </i>
    <i r="1">
      <x v="9"/>
    </i>
    <i r="1">
      <x v="12"/>
    </i>
    <i r="1">
      <x v="2"/>
    </i>
    <i r="1">
      <x v="45"/>
    </i>
    <i r="1">
      <x v="8"/>
    </i>
    <i r="1">
      <x v="28"/>
    </i>
    <i r="1">
      <x v="51"/>
    </i>
    <i>
      <x v="3"/>
    </i>
    <i r="1">
      <x v="53"/>
    </i>
    <i r="1">
      <x v="5"/>
    </i>
    <i r="1">
      <x v="36"/>
    </i>
    <i r="1">
      <x v="24"/>
    </i>
    <i r="1">
      <x v="37"/>
    </i>
    <i r="1">
      <x v="39"/>
    </i>
    <i r="1">
      <x v="47"/>
    </i>
    <i r="1">
      <x v="32"/>
    </i>
    <i r="1">
      <x v="44"/>
    </i>
    <i r="1">
      <x v="42"/>
    </i>
    <i r="1">
      <x v="58"/>
    </i>
    <i r="1">
      <x v="60"/>
    </i>
    <i r="1">
      <x v="55"/>
    </i>
    <i r="1">
      <x v="35"/>
    </i>
    <i r="1">
      <x v="21"/>
    </i>
    <i r="1">
      <x v="40"/>
    </i>
    <i r="1">
      <x v="48"/>
    </i>
    <i r="1">
      <x v="30"/>
    </i>
    <i r="1">
      <x v="33"/>
    </i>
    <i r="1">
      <x v="34"/>
    </i>
    <i r="1">
      <x v="4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а з reviews_count" fld="4" baseField="0" baseItem="0" numFmtId="3"/>
    <dataField name="Сума з rating_raw_w" fld="15" baseField="0" baseItem="0" numFmtId="3"/>
    <dataField name="Сума з rating_smoothed_w" fld="16" baseField="0" baseItem="0" numFmtId="3"/>
    <dataField name="Сума з rating_score_balanced_w" fld="17" baseField="0" baseItem="0" numFmtId="3"/>
  </dataFields>
  <formats count="8">
    <format dxfId="334">
      <pivotArea outline="0" collapsedLevelsAreSubtotals="1" fieldPosition="0"/>
    </format>
    <format dxfId="3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2">
      <pivotArea field="3" type="button" dataOnly="0" labelOnly="1" outline="0" axis="axisRow" fieldPosition="0"/>
    </format>
    <format dxfId="3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30">
      <pivotArea field="3" type="button" dataOnly="0" labelOnly="1" outline="0" axis="axisRow" fieldPosition="0"/>
    </format>
    <format dxfId="3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8">
      <pivotArea field="3" type="button" dataOnly="0" labelOnly="1" outline="0" axis="axisRow" fieldPosition="0"/>
    </format>
    <format dxfId="3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3" selected="0"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9FC987-FDC3-43FB-9880-0BED07094817}" autoFormatId="16" applyNumberFormats="0" applyBorderFormats="0" applyFontFormats="0" applyPatternFormats="0" applyAlignmentFormats="0" applyWidthHeightFormats="0">
  <queryTableRefresh nextId="16" unboundColumnsRight="3">
    <queryTableFields count="15">
      <queryTableField id="1" name="sku" tableColumnId="1"/>
      <queryTableField id="2" name="brand" tableColumnId="2"/>
      <queryTableField id="3" name="category_id" tableColumnId="3"/>
      <queryTableField id="4" name="category_name" tableColumnId="4"/>
      <queryTableField id="5" name="reviews_count" tableColumnId="5"/>
      <queryTableField id="6" name="rating_raw" tableColumnId="6"/>
      <queryTableField id="7" name="rating_smoothed" tableColumnId="7"/>
      <queryTableField id="8" name="base_score" tableColumnId="8"/>
      <queryTableField id="9" name="final_score__soft" tableColumnId="9"/>
      <queryTableField id="10" name="final_score__balanced" tableColumnId="10"/>
      <queryTableField id="11" name="final_score__strict" tableColumnId="11"/>
      <queryTableField id="12" name="final_score__very_strict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9A2EB-1769-4DD8-A0FA-ACA6135D2304}" name="products_final_scores_scenarios" displayName="products_final_scores_scenarios" ref="A1:O303" tableType="queryTable" totalsRowShown="0">
  <autoFilter ref="A1:O303" xr:uid="{61F9A2EB-1769-4DD8-A0FA-ACA6135D2304}"/>
  <tableColumns count="15">
    <tableColumn id="1" xr3:uid="{704D9A44-E5C8-45A3-98E6-C701F1B7B477}" uniqueName="1" name="sku" queryTableFieldId="1" dataDxfId="324"/>
    <tableColumn id="2" xr3:uid="{321DECE1-9A46-4CE8-AF60-8B1269345471}" uniqueName="2" name="brand" queryTableFieldId="2" dataDxfId="323"/>
    <tableColumn id="3" xr3:uid="{EA097A7D-F02C-48D5-9441-381A9572F73D}" uniqueName="3" name="category_id" queryTableFieldId="3" dataDxfId="322"/>
    <tableColumn id="4" xr3:uid="{D61229CF-40E1-4314-ACAE-7474830BEF90}" uniqueName="4" name="category_name" queryTableFieldId="4" dataDxfId="321"/>
    <tableColumn id="5" xr3:uid="{FFD02951-C381-4703-A0F0-7B2F76D24B3E}" uniqueName="5" name="reviews_count" queryTableFieldId="5" dataDxfId="320"/>
    <tableColumn id="6" xr3:uid="{31160378-9FAC-4BF2-B125-4B7ABD07CF96}" uniqueName="6" name="rating_raw" queryTableFieldId="6" dataDxfId="319"/>
    <tableColumn id="7" xr3:uid="{D794E69D-A903-469B-A71E-76969B3A2AFF}" uniqueName="7" name="rating_smoothed" queryTableFieldId="7" dataDxfId="318"/>
    <tableColumn id="8" xr3:uid="{9344276C-4A98-48D6-BF1F-BC2C1B809B7B}" uniqueName="8" name="base_score" queryTableFieldId="8" dataDxfId="317"/>
    <tableColumn id="9" xr3:uid="{B7F184EE-19F3-4D77-9DAB-FE2CB842E534}" uniqueName="9" name="final_score__soft" queryTableFieldId="9" dataDxfId="316"/>
    <tableColumn id="10" xr3:uid="{E40715D0-49B9-447B-B28B-9E1B6716CDBC}" uniqueName="10" name="final_score__balanced" queryTableFieldId="10" dataDxfId="315"/>
    <tableColumn id="11" xr3:uid="{E8550B17-F0BF-4D9B-8E1E-9ED7FE70FC8F}" uniqueName="11" name="final_score__strict" queryTableFieldId="11" dataDxfId="314"/>
    <tableColumn id="12" xr3:uid="{35CE12B8-CCDB-4495-B78D-F49C1617B409}" uniqueName="12" name="final_score__very_strict" queryTableFieldId="12" dataDxfId="312"/>
    <tableColumn id="13" xr3:uid="{40CC94AE-4368-4528-809B-52B4EA4DCDD0}" uniqueName="13" name="wv_rating_raw2" queryTableFieldId="13" dataDxfId="313">
      <calculatedColumnFormula>products_final_scores_scenarios[[#This Row],[rating_raw]]*products_final_scores_scenarios[[#This Row],[reviews_count]]</calculatedColumnFormula>
    </tableColumn>
    <tableColumn id="14" xr3:uid="{888E5DA9-B777-4FF1-985B-4CD4D90B70B2}" uniqueName="14" name="wv_rating_smoothed2" queryTableFieldId="14" dataDxfId="326">
      <calculatedColumnFormula>products_final_scores_scenarios[[#This Row],[rating_smoothed]]*products_final_scores_scenarios[[#This Row],[reviews_count]]</calculatedColumnFormula>
    </tableColumn>
    <tableColumn id="15" xr3:uid="{132DFF7C-DA6F-4448-9A1D-9A54DC211F1E}" uniqueName="15" name="wv_final_score__balanced2" queryTableFieldId="15" dataDxfId="325">
      <calculatedColumnFormula>products_final_scores_scenarios[[#This Row],[final_score__balanced]]*products_final_scores_scenarios[[#This Row],[reviews_count]]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5AD6-0F92-4BBA-915B-AAA6E13F8C56}">
  <dimension ref="A3:E48"/>
  <sheetViews>
    <sheetView tabSelected="1" workbookViewId="0">
      <selection activeCell="A12" sqref="A12"/>
    </sheetView>
  </sheetViews>
  <sheetFormatPr defaultRowHeight="14.4" x14ac:dyDescent="0.3"/>
  <cols>
    <col min="1" max="1" width="39.77734375" customWidth="1"/>
    <col min="2" max="2" width="13.6640625" customWidth="1"/>
    <col min="3" max="3" width="17.88671875" customWidth="1"/>
    <col min="4" max="4" width="17.6640625" customWidth="1"/>
    <col min="5" max="5" width="13.88671875" customWidth="1"/>
  </cols>
  <sheetData>
    <row r="3" spans="1:5" s="6" customFormat="1" ht="43.2" x14ac:dyDescent="0.3">
      <c r="A3" s="5" t="s">
        <v>373</v>
      </c>
      <c r="B3" s="6" t="s">
        <v>375</v>
      </c>
      <c r="C3" s="6" t="s">
        <v>379</v>
      </c>
      <c r="D3" s="6" t="s">
        <v>380</v>
      </c>
      <c r="E3" s="6" t="s">
        <v>381</v>
      </c>
    </row>
    <row r="4" spans="1:5" x14ac:dyDescent="0.3">
      <c r="A4" s="1" t="s">
        <v>22</v>
      </c>
      <c r="B4" s="3">
        <v>5802</v>
      </c>
      <c r="C4" s="2">
        <v>4.54481213374698</v>
      </c>
      <c r="D4" s="2">
        <v>4.5470757068044927</v>
      </c>
      <c r="E4" s="2">
        <v>4.4543870069484086</v>
      </c>
    </row>
    <row r="5" spans="1:5" x14ac:dyDescent="0.3">
      <c r="A5" s="1" t="s">
        <v>35</v>
      </c>
      <c r="B5" s="3">
        <v>606</v>
      </c>
      <c r="C5" s="2">
        <v>4.5478547854785454</v>
      </c>
      <c r="D5" s="2">
        <v>4.5756306584470892</v>
      </c>
      <c r="E5" s="2">
        <v>4.4127505185682914</v>
      </c>
    </row>
    <row r="6" spans="1:5" x14ac:dyDescent="0.3">
      <c r="A6" s="1" t="s">
        <v>14</v>
      </c>
      <c r="B6" s="3">
        <v>2276</v>
      </c>
      <c r="C6" s="2">
        <v>4.5184534270650225</v>
      </c>
      <c r="D6" s="2">
        <v>4.5509801792133597</v>
      </c>
      <c r="E6" s="2">
        <v>4.378838753332829</v>
      </c>
    </row>
    <row r="7" spans="1:5" x14ac:dyDescent="0.3">
      <c r="A7" s="4" t="s">
        <v>370</v>
      </c>
      <c r="B7" s="3">
        <v>4</v>
      </c>
      <c r="C7" s="2">
        <v>5</v>
      </c>
      <c r="D7" s="2">
        <v>4.5987111892208503</v>
      </c>
      <c r="E7" s="2">
        <v>4.5987111892208503</v>
      </c>
    </row>
    <row r="8" spans="1:5" x14ac:dyDescent="0.3">
      <c r="A8" s="4" t="s">
        <v>248</v>
      </c>
      <c r="B8" s="3">
        <v>13</v>
      </c>
      <c r="C8" s="2">
        <v>4.6923076923076898</v>
      </c>
      <c r="D8" s="2">
        <v>4.5869414709485001</v>
      </c>
      <c r="E8" s="2">
        <v>4.5869414709485001</v>
      </c>
    </row>
    <row r="9" spans="1:5" x14ac:dyDescent="0.3">
      <c r="A9" s="4" t="s">
        <v>333</v>
      </c>
      <c r="B9" s="3">
        <v>9</v>
      </c>
      <c r="C9" s="2">
        <v>4.6666666666666599</v>
      </c>
      <c r="D9" s="2">
        <v>4.56445063935519</v>
      </c>
      <c r="E9" s="2">
        <v>4.56445063935519</v>
      </c>
    </row>
    <row r="10" spans="1:5" x14ac:dyDescent="0.3">
      <c r="A10" s="4" t="s">
        <v>321</v>
      </c>
      <c r="B10" s="3">
        <v>38</v>
      </c>
      <c r="C10" s="2">
        <v>4.5789473684210504</v>
      </c>
      <c r="D10" s="2">
        <v>4.5580873886431101</v>
      </c>
      <c r="E10" s="2">
        <v>4.5580873886431101</v>
      </c>
    </row>
    <row r="11" spans="1:5" x14ac:dyDescent="0.3">
      <c r="A11" s="4" t="s">
        <v>19</v>
      </c>
      <c r="B11" s="3">
        <v>20</v>
      </c>
      <c r="C11" s="2">
        <v>5</v>
      </c>
      <c r="D11" s="2">
        <v>4.7592267135325104</v>
      </c>
      <c r="E11" s="2">
        <v>4.5575476414086804</v>
      </c>
    </row>
    <row r="12" spans="1:5" x14ac:dyDescent="0.3">
      <c r="A12" s="4" t="s">
        <v>148</v>
      </c>
      <c r="B12" s="3">
        <v>761</v>
      </c>
      <c r="C12" s="2">
        <v>4.7385019710906642</v>
      </c>
      <c r="D12" s="2">
        <v>4.7134227033800791</v>
      </c>
      <c r="E12" s="2">
        <v>4.5248193577072886</v>
      </c>
    </row>
    <row r="13" spans="1:5" x14ac:dyDescent="0.3">
      <c r="A13" s="4" t="s">
        <v>181</v>
      </c>
      <c r="B13" s="3">
        <v>12</v>
      </c>
      <c r="C13" s="2">
        <v>4.9166666666666599</v>
      </c>
      <c r="D13" s="2">
        <v>4.6677833919156404</v>
      </c>
      <c r="E13" s="2">
        <v>4.4451882015214901</v>
      </c>
    </row>
    <row r="14" spans="1:5" x14ac:dyDescent="0.3">
      <c r="A14" s="4" t="s">
        <v>28</v>
      </c>
      <c r="B14" s="3">
        <v>11</v>
      </c>
      <c r="C14" s="2">
        <v>4.9090909090909003</v>
      </c>
      <c r="D14" s="2">
        <v>4.6570667271387203</v>
      </c>
      <c r="E14" s="2">
        <v>4.4153256223580399</v>
      </c>
    </row>
    <row r="15" spans="1:5" x14ac:dyDescent="0.3">
      <c r="A15" s="4" t="s">
        <v>114</v>
      </c>
      <c r="B15" s="3">
        <v>250</v>
      </c>
      <c r="C15" s="2">
        <v>4.3679999999999968</v>
      </c>
      <c r="D15" s="2">
        <v>4.5003474525624281</v>
      </c>
      <c r="E15" s="2">
        <v>4.3879171237737875</v>
      </c>
    </row>
    <row r="16" spans="1:5" x14ac:dyDescent="0.3">
      <c r="A16" s="4" t="s">
        <v>108</v>
      </c>
      <c r="B16" s="3">
        <v>203</v>
      </c>
      <c r="C16" s="2">
        <v>4.4088669950738879</v>
      </c>
      <c r="D16" s="2">
        <v>4.5279604001843623</v>
      </c>
      <c r="E16" s="2">
        <v>4.3471010667541883</v>
      </c>
    </row>
    <row r="17" spans="1:5" x14ac:dyDescent="0.3">
      <c r="A17" s="4" t="s">
        <v>102</v>
      </c>
      <c r="B17" s="3">
        <v>7</v>
      </c>
      <c r="C17" s="2">
        <v>4.2857142857142838</v>
      </c>
      <c r="D17" s="2">
        <v>4.4980660561007415</v>
      </c>
      <c r="E17" s="2">
        <v>4.3405302817011471</v>
      </c>
    </row>
    <row r="18" spans="1:5" x14ac:dyDescent="0.3">
      <c r="A18" s="4" t="s">
        <v>13</v>
      </c>
      <c r="B18" s="3">
        <v>738</v>
      </c>
      <c r="C18" s="2">
        <v>4.4756097560975583</v>
      </c>
      <c r="D18" s="2">
        <v>4.4854576380884437</v>
      </c>
      <c r="E18" s="2">
        <v>4.3256308416876372</v>
      </c>
    </row>
    <row r="19" spans="1:5" x14ac:dyDescent="0.3">
      <c r="A19" s="4" t="s">
        <v>63</v>
      </c>
      <c r="B19" s="3">
        <v>16</v>
      </c>
      <c r="C19" s="2">
        <v>4.4999999999999964</v>
      </c>
      <c r="D19" s="2">
        <v>4.5087484121042394</v>
      </c>
      <c r="E19" s="2">
        <v>4.2850669368272349</v>
      </c>
    </row>
    <row r="20" spans="1:5" x14ac:dyDescent="0.3">
      <c r="A20" s="4" t="s">
        <v>58</v>
      </c>
      <c r="B20" s="3">
        <v>75</v>
      </c>
      <c r="C20" s="2">
        <v>4.186666666666663</v>
      </c>
      <c r="D20" s="2">
        <v>4.3017615669494766</v>
      </c>
      <c r="E20" s="2">
        <v>4.1619845902547032</v>
      </c>
    </row>
    <row r="21" spans="1:5" x14ac:dyDescent="0.3">
      <c r="A21" s="4" t="s">
        <v>372</v>
      </c>
      <c r="B21" s="3">
        <v>6</v>
      </c>
      <c r="C21" s="2">
        <v>3.6666666666666594</v>
      </c>
      <c r="D21" s="2">
        <v>4.3218872515884801</v>
      </c>
      <c r="E21" s="2">
        <v>4.1557897929730796</v>
      </c>
    </row>
    <row r="22" spans="1:5" x14ac:dyDescent="0.3">
      <c r="A22" s="4" t="s">
        <v>258</v>
      </c>
      <c r="B22" s="3">
        <v>20</v>
      </c>
      <c r="C22" s="2">
        <v>3.6</v>
      </c>
      <c r="D22" s="2">
        <v>4.2735325131810153</v>
      </c>
      <c r="E22" s="2">
        <v>3.9852626490254708</v>
      </c>
    </row>
    <row r="23" spans="1:5" x14ac:dyDescent="0.3">
      <c r="A23" s="4" t="s">
        <v>24</v>
      </c>
      <c r="B23" s="3">
        <v>4</v>
      </c>
      <c r="C23" s="2">
        <v>5</v>
      </c>
      <c r="D23" s="2">
        <v>4.5987111892208503</v>
      </c>
      <c r="E23" s="2">
        <v>3.9587111892208502</v>
      </c>
    </row>
    <row r="24" spans="1:5" x14ac:dyDescent="0.3">
      <c r="A24" s="4" t="s">
        <v>172</v>
      </c>
      <c r="B24" s="3">
        <v>35</v>
      </c>
      <c r="C24" s="2">
        <v>4.1714285714285646</v>
      </c>
      <c r="D24" s="2">
        <v>4.3554784442987851</v>
      </c>
      <c r="E24" s="2">
        <v>3.909404650775798</v>
      </c>
    </row>
    <row r="25" spans="1:5" x14ac:dyDescent="0.3">
      <c r="A25" s="4" t="s">
        <v>323</v>
      </c>
      <c r="B25" s="3">
        <v>54</v>
      </c>
      <c r="C25" s="2">
        <v>3.74074074074074</v>
      </c>
      <c r="D25" s="2">
        <v>3.9509333586662199</v>
      </c>
      <c r="E25" s="2">
        <v>3.6540969020999494</v>
      </c>
    </row>
    <row r="26" spans="1:5" x14ac:dyDescent="0.3">
      <c r="A26" s="1" t="s">
        <v>41</v>
      </c>
      <c r="B26" s="3">
        <v>10182</v>
      </c>
      <c r="C26" s="2">
        <v>4.4759379296798238</v>
      </c>
      <c r="D26" s="2">
        <v>4.4860362621616998</v>
      </c>
      <c r="E26" s="2">
        <v>4.2596233881796319</v>
      </c>
    </row>
    <row r="27" spans="1:5" x14ac:dyDescent="0.3">
      <c r="A27" s="4" t="s">
        <v>329</v>
      </c>
      <c r="B27" s="3">
        <v>8</v>
      </c>
      <c r="C27" s="2">
        <v>5</v>
      </c>
      <c r="D27" s="2">
        <v>4.5728798144826408</v>
      </c>
      <c r="E27" s="2">
        <v>4.5728798144826408</v>
      </c>
    </row>
    <row r="28" spans="1:5" x14ac:dyDescent="0.3">
      <c r="A28" s="4" t="s">
        <v>34</v>
      </c>
      <c r="B28" s="3">
        <v>1755</v>
      </c>
      <c r="C28" s="2">
        <v>4.7578347578347504</v>
      </c>
      <c r="D28" s="2">
        <v>4.7326697459125668</v>
      </c>
      <c r="E28" s="2">
        <v>4.5577588122896699</v>
      </c>
    </row>
    <row r="29" spans="1:5" x14ac:dyDescent="0.3">
      <c r="A29" s="4" t="s">
        <v>223</v>
      </c>
      <c r="B29" s="3">
        <v>11</v>
      </c>
      <c r="C29" s="2">
        <v>4.7272727272727257</v>
      </c>
      <c r="D29" s="2">
        <v>4.5317005453074408</v>
      </c>
      <c r="E29" s="2">
        <v>4.5317005453074408</v>
      </c>
    </row>
    <row r="30" spans="1:5" x14ac:dyDescent="0.3">
      <c r="A30" s="4" t="s">
        <v>136</v>
      </c>
      <c r="B30" s="3">
        <v>614</v>
      </c>
      <c r="C30" s="2">
        <v>4.7475570032573229</v>
      </c>
      <c r="D30" s="2">
        <v>4.6863787575275868</v>
      </c>
      <c r="E30" s="2">
        <v>4.5089557390741151</v>
      </c>
    </row>
    <row r="31" spans="1:5" x14ac:dyDescent="0.3">
      <c r="A31" s="4" t="s">
        <v>218</v>
      </c>
      <c r="B31" s="3">
        <v>2</v>
      </c>
      <c r="C31" s="2">
        <v>5</v>
      </c>
      <c r="D31" s="2">
        <v>4.5008932663617403</v>
      </c>
      <c r="E31" s="2">
        <v>4.5008932663617403</v>
      </c>
    </row>
    <row r="32" spans="1:5" x14ac:dyDescent="0.3">
      <c r="A32" s="4" t="s">
        <v>231</v>
      </c>
      <c r="B32" s="3">
        <v>1</v>
      </c>
      <c r="C32" s="2">
        <v>5</v>
      </c>
      <c r="D32" s="2">
        <v>4.5008932663617403</v>
      </c>
      <c r="E32" s="2">
        <v>4.5008932663617403</v>
      </c>
    </row>
    <row r="33" spans="1:5" x14ac:dyDescent="0.3">
      <c r="A33" s="4" t="s">
        <v>263</v>
      </c>
      <c r="B33" s="3">
        <v>3326</v>
      </c>
      <c r="C33" s="2">
        <v>4.6716776909200171</v>
      </c>
      <c r="D33" s="2">
        <v>4.6522634291779061</v>
      </c>
      <c r="E33" s="2">
        <v>4.4345700573379006</v>
      </c>
    </row>
    <row r="34" spans="1:5" x14ac:dyDescent="0.3">
      <c r="A34" s="4" t="s">
        <v>185</v>
      </c>
      <c r="B34" s="3">
        <v>586</v>
      </c>
      <c r="C34" s="2">
        <v>4.6484641638225215</v>
      </c>
      <c r="D34" s="2">
        <v>4.6105834551403468</v>
      </c>
      <c r="E34" s="2">
        <v>4.4189894603142559</v>
      </c>
    </row>
    <row r="35" spans="1:5" x14ac:dyDescent="0.3">
      <c r="A35" s="4" t="s">
        <v>250</v>
      </c>
      <c r="B35" s="3">
        <v>188</v>
      </c>
      <c r="C35" s="2">
        <v>4.6382978723404227</v>
      </c>
      <c r="D35" s="2">
        <v>4.5865407481296634</v>
      </c>
      <c r="E35" s="2">
        <v>4.4166612292741103</v>
      </c>
    </row>
    <row r="36" spans="1:5" x14ac:dyDescent="0.3">
      <c r="A36" s="4" t="s">
        <v>242</v>
      </c>
      <c r="B36" s="3">
        <v>65</v>
      </c>
      <c r="C36" s="2">
        <v>4.8153846153846134</v>
      </c>
      <c r="D36" s="2">
        <v>4.6109677567889999</v>
      </c>
      <c r="E36" s="2">
        <v>4.4007344535073551</v>
      </c>
    </row>
    <row r="37" spans="1:5" x14ac:dyDescent="0.3">
      <c r="A37" s="4" t="s">
        <v>340</v>
      </c>
      <c r="B37" s="3">
        <v>1478</v>
      </c>
      <c r="C37" s="2">
        <v>4.5676589986468157</v>
      </c>
      <c r="D37" s="2">
        <v>4.5530766522396275</v>
      </c>
      <c r="E37" s="2">
        <v>4.3073770674186251</v>
      </c>
    </row>
    <row r="38" spans="1:5" x14ac:dyDescent="0.3">
      <c r="A38" s="4" t="s">
        <v>366</v>
      </c>
      <c r="B38" s="3">
        <v>34</v>
      </c>
      <c r="C38" s="2">
        <v>4.6470588235294068</v>
      </c>
      <c r="D38" s="2">
        <v>4.5843425164116693</v>
      </c>
      <c r="E38" s="2">
        <v>4.2780385416945661</v>
      </c>
    </row>
    <row r="39" spans="1:5" x14ac:dyDescent="0.3">
      <c r="A39" s="4" t="s">
        <v>335</v>
      </c>
      <c r="B39" s="3">
        <v>23</v>
      </c>
      <c r="C39" s="2">
        <v>4.4347826086956523</v>
      </c>
      <c r="D39" s="2">
        <v>4.4300982979341175</v>
      </c>
      <c r="E39" s="2">
        <v>4.245018200675041</v>
      </c>
    </row>
    <row r="40" spans="1:5" x14ac:dyDescent="0.3">
      <c r="A40" s="4" t="s">
        <v>212</v>
      </c>
      <c r="B40" s="3">
        <v>103</v>
      </c>
      <c r="C40" s="2">
        <v>4.5242718446601922</v>
      </c>
      <c r="D40" s="2">
        <v>4.4924547937909445</v>
      </c>
      <c r="E40" s="2">
        <v>4.2357919917348914</v>
      </c>
    </row>
    <row r="41" spans="1:5" x14ac:dyDescent="0.3">
      <c r="A41" s="4" t="s">
        <v>104</v>
      </c>
      <c r="B41" s="3">
        <v>230</v>
      </c>
      <c r="C41" s="2">
        <v>4.3999999999999977</v>
      </c>
      <c r="D41" s="2">
        <v>4.4269566003686185</v>
      </c>
      <c r="E41" s="2">
        <v>4.1964531313237199</v>
      </c>
    </row>
    <row r="42" spans="1:5" x14ac:dyDescent="0.3">
      <c r="A42" s="4" t="s">
        <v>236</v>
      </c>
      <c r="B42" s="3">
        <v>36</v>
      </c>
      <c r="C42" s="2">
        <v>4.4444444444444411</v>
      </c>
      <c r="D42" s="2">
        <v>4.4404240870772176</v>
      </c>
      <c r="E42" s="2">
        <v>4.147114922727825</v>
      </c>
    </row>
    <row r="43" spans="1:5" x14ac:dyDescent="0.3">
      <c r="A43" s="4" t="s">
        <v>183</v>
      </c>
      <c r="B43" s="3">
        <v>4</v>
      </c>
      <c r="C43" s="2">
        <v>3</v>
      </c>
      <c r="D43" s="2">
        <v>4.2299482747331796</v>
      </c>
      <c r="E43" s="2">
        <v>4.0002086037337801</v>
      </c>
    </row>
    <row r="44" spans="1:5" x14ac:dyDescent="0.3">
      <c r="A44" s="4" t="s">
        <v>177</v>
      </c>
      <c r="B44" s="3">
        <v>89</v>
      </c>
      <c r="C44" s="2">
        <v>4.1685393258426897</v>
      </c>
      <c r="D44" s="2">
        <v>4.3164903796292409</v>
      </c>
      <c r="E44" s="2">
        <v>3.9325342062938917</v>
      </c>
    </row>
    <row r="45" spans="1:5" x14ac:dyDescent="0.3">
      <c r="A45" s="4" t="s">
        <v>198</v>
      </c>
      <c r="B45" s="3">
        <v>430</v>
      </c>
      <c r="C45" s="2">
        <v>3.7813953488372061</v>
      </c>
      <c r="D45" s="2">
        <v>3.9737070808136772</v>
      </c>
      <c r="E45" s="2">
        <v>3.7095453596352579</v>
      </c>
    </row>
    <row r="46" spans="1:5" x14ac:dyDescent="0.3">
      <c r="A46" s="4" t="s">
        <v>208</v>
      </c>
      <c r="B46" s="3">
        <v>35</v>
      </c>
      <c r="C46" s="2">
        <v>2.7999999999999985</v>
      </c>
      <c r="D46" s="2">
        <v>3.8276220515141088</v>
      </c>
      <c r="E46" s="2">
        <v>3.6227100190091659</v>
      </c>
    </row>
    <row r="47" spans="1:5" x14ac:dyDescent="0.3">
      <c r="A47" s="4" t="s">
        <v>298</v>
      </c>
      <c r="B47" s="3">
        <v>1164</v>
      </c>
      <c r="C47" s="2">
        <v>3.4355670103092755</v>
      </c>
      <c r="D47" s="2">
        <v>3.5950761340047479</v>
      </c>
      <c r="E47" s="2">
        <v>3.2653288560201976</v>
      </c>
    </row>
    <row r="48" spans="1:5" x14ac:dyDescent="0.3">
      <c r="A48" s="1" t="s">
        <v>374</v>
      </c>
      <c r="B48" s="3">
        <v>18866</v>
      </c>
      <c r="C48" s="2">
        <v>4.5045584649634245</v>
      </c>
      <c r="D48" s="2">
        <v>4.5155209127063856</v>
      </c>
      <c r="E48" s="2">
        <v>4.3388212959608641</v>
      </c>
    </row>
  </sheetData>
  <conditionalFormatting sqref="B1:D3 B180: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E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9E15-B49B-4A22-8B65-4FDD7E1E53BA}">
  <dimension ref="A1:O303"/>
  <sheetViews>
    <sheetView workbookViewId="0">
      <selection activeCell="B113" sqref="A113:XFD113"/>
    </sheetView>
  </sheetViews>
  <sheetFormatPr defaultRowHeight="14.4" x14ac:dyDescent="0.3"/>
  <cols>
    <col min="1" max="1" width="41.21875" customWidth="1"/>
    <col min="2" max="2" width="13.5546875" bestFit="1" customWidth="1"/>
    <col min="3" max="3" width="13.109375" bestFit="1" customWidth="1"/>
    <col min="4" max="4" width="18.44140625" bestFit="1" customWidth="1"/>
    <col min="5" max="5" width="15.5546875" bestFit="1" customWidth="1"/>
    <col min="6" max="9" width="18.77734375" bestFit="1" customWidth="1"/>
    <col min="10" max="10" width="22.21875" bestFit="1" customWidth="1"/>
    <col min="11" max="11" width="18.77734375" bestFit="1" customWidth="1"/>
    <col min="12" max="12" width="23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376</v>
      </c>
      <c r="N1" t="s">
        <v>377</v>
      </c>
      <c r="O1" t="s">
        <v>378</v>
      </c>
    </row>
    <row r="2" spans="1:15" x14ac:dyDescent="0.3">
      <c r="A2" s="2" t="s">
        <v>12</v>
      </c>
      <c r="B2" s="2" t="s">
        <v>13</v>
      </c>
      <c r="C2" s="2">
        <v>76</v>
      </c>
      <c r="D2" s="2" t="s">
        <v>14</v>
      </c>
      <c r="E2" s="2">
        <v>241</v>
      </c>
      <c r="F2" s="2">
        <v>4.7966804979253101</v>
      </c>
      <c r="G2" s="2">
        <v>4.7753604158670502</v>
      </c>
      <c r="H2" s="2">
        <v>4.7753604158670502</v>
      </c>
      <c r="I2" s="2">
        <v>4.7459305860814398</v>
      </c>
      <c r="J2" s="2">
        <v>4.6947838540654603</v>
      </c>
      <c r="K2" s="2">
        <v>4.5354475558145797</v>
      </c>
      <c r="L2" s="2">
        <v>4.3462737870280197</v>
      </c>
      <c r="M2">
        <f>products_final_scores_scenarios[[#This Row],[rating_raw]]*products_final_scores_scenarios[[#This Row],[reviews_count]]</f>
        <v>1155.9999999999998</v>
      </c>
      <c r="N2">
        <f>products_final_scores_scenarios[[#This Row],[rating_smoothed]]*products_final_scores_scenarios[[#This Row],[reviews_count]]</f>
        <v>1150.8618602239592</v>
      </c>
      <c r="O2">
        <f>products_final_scores_scenarios[[#This Row],[final_score__balanced]]*products_final_scores_scenarios[[#This Row],[reviews_count]]</f>
        <v>1131.4429088297759</v>
      </c>
    </row>
    <row r="3" spans="1:15" x14ac:dyDescent="0.3">
      <c r="A3" s="2" t="s">
        <v>15</v>
      </c>
      <c r="B3" s="2" t="s">
        <v>13</v>
      </c>
      <c r="C3" s="2">
        <v>76</v>
      </c>
      <c r="D3" s="2" t="s">
        <v>14</v>
      </c>
      <c r="E3" s="2">
        <v>6</v>
      </c>
      <c r="F3" s="2">
        <v>3.6666666666666599</v>
      </c>
      <c r="G3" s="2">
        <v>4.3218872515884801</v>
      </c>
      <c r="H3" s="2">
        <v>4.3218872515884801</v>
      </c>
      <c r="I3" s="2">
        <v>4.3218872515884801</v>
      </c>
      <c r="J3" s="2">
        <v>4.3218872515884801</v>
      </c>
      <c r="K3" s="2">
        <v>4.3218872515884801</v>
      </c>
      <c r="L3" s="2">
        <v>4.3218872515884801</v>
      </c>
      <c r="M3">
        <f>products_final_scores_scenarios[[#This Row],[rating_raw]]*products_final_scores_scenarios[[#This Row],[reviews_count]]</f>
        <v>21.999999999999957</v>
      </c>
      <c r="N3">
        <f>products_final_scores_scenarios[[#This Row],[rating_smoothed]]*products_final_scores_scenarios[[#This Row],[reviews_count]]</f>
        <v>25.931323509530881</v>
      </c>
      <c r="O3">
        <f>products_final_scores_scenarios[[#This Row],[final_score__balanced]]*products_final_scores_scenarios[[#This Row],[reviews_count]]</f>
        <v>25.931323509530881</v>
      </c>
    </row>
    <row r="4" spans="1:15" x14ac:dyDescent="0.3">
      <c r="A4" s="2" t="s">
        <v>16</v>
      </c>
      <c r="B4" s="2" t="s">
        <v>13</v>
      </c>
      <c r="C4" s="2">
        <v>76</v>
      </c>
      <c r="D4" s="2" t="s">
        <v>14</v>
      </c>
      <c r="E4" s="2">
        <v>448</v>
      </c>
      <c r="F4" s="2">
        <v>4.3459821428571397</v>
      </c>
      <c r="G4" s="2">
        <v>4.3533527105583296</v>
      </c>
      <c r="H4" s="2">
        <v>4.3533527105583296</v>
      </c>
      <c r="I4" s="2">
        <v>4.2729104078150497</v>
      </c>
      <c r="J4" s="2">
        <v>4.1487393820644396</v>
      </c>
      <c r="K4" s="2">
        <v>3.8464686650445299</v>
      </c>
      <c r="L4" s="2">
        <v>3.5151192981266801</v>
      </c>
      <c r="M4">
        <f>products_final_scores_scenarios[[#This Row],[rating_raw]]*products_final_scores_scenarios[[#This Row],[reviews_count]]</f>
        <v>1946.9999999999986</v>
      </c>
      <c r="N4">
        <f>products_final_scores_scenarios[[#This Row],[rating_smoothed]]*products_final_scores_scenarios[[#This Row],[reviews_count]]</f>
        <v>1950.3020143301317</v>
      </c>
      <c r="O4">
        <f>products_final_scores_scenarios[[#This Row],[final_score__balanced]]*products_final_scores_scenarios[[#This Row],[reviews_count]]</f>
        <v>1858.6352431648688</v>
      </c>
    </row>
    <row r="5" spans="1:15" x14ac:dyDescent="0.3">
      <c r="A5" s="2" t="s">
        <v>17</v>
      </c>
      <c r="B5" s="2" t="s">
        <v>13</v>
      </c>
      <c r="C5" s="2">
        <v>76</v>
      </c>
      <c r="D5" s="2" t="s">
        <v>14</v>
      </c>
      <c r="E5" s="2">
        <v>43</v>
      </c>
      <c r="F5" s="2">
        <v>4.1395348837209296</v>
      </c>
      <c r="G5" s="2">
        <v>4.2598264847825398</v>
      </c>
      <c r="H5" s="2">
        <v>4.2598264847825398</v>
      </c>
      <c r="I5" s="2">
        <v>4.1987949451055204</v>
      </c>
      <c r="J5" s="2">
        <v>4.1001415270069996</v>
      </c>
      <c r="K5" s="2">
        <v>3.8400025409346998</v>
      </c>
      <c r="L5" s="2">
        <v>3.5453184616861502</v>
      </c>
      <c r="M5">
        <f>products_final_scores_scenarios[[#This Row],[rating_raw]]*products_final_scores_scenarios[[#This Row],[reviews_count]]</f>
        <v>177.99999999999997</v>
      </c>
      <c r="N5">
        <f>products_final_scores_scenarios[[#This Row],[rating_smoothed]]*products_final_scores_scenarios[[#This Row],[reviews_count]]</f>
        <v>183.1725388456492</v>
      </c>
      <c r="O5">
        <f>products_final_scores_scenarios[[#This Row],[final_score__balanced]]*products_final_scores_scenarios[[#This Row],[reviews_count]]</f>
        <v>176.30608566130098</v>
      </c>
    </row>
    <row r="6" spans="1:15" x14ac:dyDescent="0.3">
      <c r="A6" s="2" t="s">
        <v>18</v>
      </c>
      <c r="B6" s="2" t="s">
        <v>19</v>
      </c>
      <c r="C6" s="2">
        <v>76</v>
      </c>
      <c r="D6" s="2" t="s">
        <v>14</v>
      </c>
      <c r="E6" s="2">
        <v>20</v>
      </c>
      <c r="F6" s="2">
        <v>5</v>
      </c>
      <c r="G6" s="2">
        <v>4.7592267135325104</v>
      </c>
      <c r="H6" s="2">
        <v>4.7592267135325104</v>
      </c>
      <c r="I6" s="2">
        <v>4.6812525743876297</v>
      </c>
      <c r="J6" s="2">
        <v>4.5575476414086804</v>
      </c>
      <c r="K6" s="2">
        <v>4.24903406504977</v>
      </c>
      <c r="L6" s="2">
        <v>3.9032973940206701</v>
      </c>
      <c r="M6">
        <f>products_final_scores_scenarios[[#This Row],[rating_raw]]*products_final_scores_scenarios[[#This Row],[reviews_count]]</f>
        <v>100</v>
      </c>
      <c r="N6">
        <f>products_final_scores_scenarios[[#This Row],[rating_smoothed]]*products_final_scores_scenarios[[#This Row],[reviews_count]]</f>
        <v>95.184534270650204</v>
      </c>
      <c r="O6">
        <f>products_final_scores_scenarios[[#This Row],[final_score__balanced]]*products_final_scores_scenarios[[#This Row],[reviews_count]]</f>
        <v>91.150952828173615</v>
      </c>
    </row>
    <row r="7" spans="1:15" x14ac:dyDescent="0.3">
      <c r="A7" s="2" t="s">
        <v>20</v>
      </c>
      <c r="B7" s="2" t="s">
        <v>21</v>
      </c>
      <c r="C7" s="2">
        <v>4</v>
      </c>
      <c r="D7" s="2" t="s">
        <v>22</v>
      </c>
      <c r="E7" s="2">
        <v>12</v>
      </c>
      <c r="F7" s="2">
        <v>4.1666666666666599</v>
      </c>
      <c r="G7" s="2">
        <v>4.4071784267386898</v>
      </c>
      <c r="H7" s="2">
        <v>4.4071784267386898</v>
      </c>
      <c r="I7" s="2">
        <v>4.3274296801486001</v>
      </c>
      <c r="J7" s="2">
        <v>4.2163825492579798</v>
      </c>
      <c r="K7" s="2">
        <v>3.9635160493381898</v>
      </c>
      <c r="L7" s="2">
        <v>3.8519607517078298</v>
      </c>
      <c r="M7">
        <f>products_final_scores_scenarios[[#This Row],[rating_raw]]*products_final_scores_scenarios[[#This Row],[reviews_count]]</f>
        <v>49.999999999999915</v>
      </c>
      <c r="N7">
        <f>products_final_scores_scenarios[[#This Row],[rating_smoothed]]*products_final_scores_scenarios[[#This Row],[reviews_count]]</f>
        <v>52.886141120864281</v>
      </c>
      <c r="O7">
        <f>products_final_scores_scenarios[[#This Row],[final_score__balanced]]*products_final_scores_scenarios[[#This Row],[reviews_count]]</f>
        <v>50.596590591095762</v>
      </c>
    </row>
    <row r="8" spans="1:15" x14ac:dyDescent="0.3">
      <c r="A8" s="2" t="s">
        <v>23</v>
      </c>
      <c r="B8" s="2" t="s">
        <v>24</v>
      </c>
      <c r="C8" s="2">
        <v>76</v>
      </c>
      <c r="D8" s="2" t="s">
        <v>14</v>
      </c>
      <c r="E8" s="2">
        <v>4</v>
      </c>
      <c r="F8" s="2">
        <v>5</v>
      </c>
      <c r="G8" s="2">
        <v>4.5987111892208503</v>
      </c>
      <c r="H8" s="2">
        <v>4.5987111892208503</v>
      </c>
      <c r="I8" s="2">
        <v>4.3587111892208501</v>
      </c>
      <c r="J8" s="2">
        <v>3.9587111892208502</v>
      </c>
      <c r="K8" s="2">
        <v>3.29871118922085</v>
      </c>
      <c r="L8" s="2">
        <v>3.23871118922085</v>
      </c>
      <c r="M8">
        <f>products_final_scores_scenarios[[#This Row],[rating_raw]]*products_final_scores_scenarios[[#This Row],[reviews_count]]</f>
        <v>20</v>
      </c>
      <c r="N8">
        <f>products_final_scores_scenarios[[#This Row],[rating_smoothed]]*products_final_scores_scenarios[[#This Row],[reviews_count]]</f>
        <v>18.394844756883401</v>
      </c>
      <c r="O8">
        <f>products_final_scores_scenarios[[#This Row],[final_score__balanced]]*products_final_scores_scenarios[[#This Row],[reviews_count]]</f>
        <v>15.834844756883401</v>
      </c>
    </row>
    <row r="9" spans="1:15" x14ac:dyDescent="0.3">
      <c r="A9" s="2" t="s">
        <v>25</v>
      </c>
      <c r="B9" s="2" t="s">
        <v>26</v>
      </c>
      <c r="C9" s="2">
        <v>4</v>
      </c>
      <c r="D9" s="2" t="s">
        <v>22</v>
      </c>
      <c r="E9" s="2">
        <v>2</v>
      </c>
      <c r="F9" s="2">
        <v>5</v>
      </c>
      <c r="G9" s="2">
        <v>4.5922595298017299</v>
      </c>
      <c r="H9" s="2">
        <v>4.5922595298017299</v>
      </c>
      <c r="I9" s="2">
        <v>4.5922595298017299</v>
      </c>
      <c r="J9" s="2">
        <v>4.5922595298017299</v>
      </c>
      <c r="K9" s="2">
        <v>4.5922595298017299</v>
      </c>
      <c r="L9" s="2">
        <v>4.5922595298017299</v>
      </c>
      <c r="M9">
        <f>products_final_scores_scenarios[[#This Row],[rating_raw]]*products_final_scores_scenarios[[#This Row],[reviews_count]]</f>
        <v>10</v>
      </c>
      <c r="N9">
        <f>products_final_scores_scenarios[[#This Row],[rating_smoothed]]*products_final_scores_scenarios[[#This Row],[reviews_count]]</f>
        <v>9.1845190596034598</v>
      </c>
      <c r="O9">
        <f>products_final_scores_scenarios[[#This Row],[final_score__balanced]]*products_final_scores_scenarios[[#This Row],[reviews_count]]</f>
        <v>9.1845190596034598</v>
      </c>
    </row>
    <row r="10" spans="1:15" x14ac:dyDescent="0.3">
      <c r="A10" s="2" t="s">
        <v>27</v>
      </c>
      <c r="B10" s="2" t="s">
        <v>28</v>
      </c>
      <c r="C10" s="2">
        <v>4</v>
      </c>
      <c r="D10" s="2" t="s">
        <v>22</v>
      </c>
      <c r="E10" s="2">
        <v>148</v>
      </c>
      <c r="F10" s="2">
        <v>4.3716216216216202</v>
      </c>
      <c r="G10" s="2">
        <v>4.3930339860454604</v>
      </c>
      <c r="H10" s="2">
        <v>4.3930339860454604</v>
      </c>
      <c r="I10" s="2">
        <v>4.3046497275511397</v>
      </c>
      <c r="J10" s="2">
        <v>4.1700007076629797</v>
      </c>
      <c r="K10" s="2">
        <v>3.8506473934644201</v>
      </c>
      <c r="L10" s="2">
        <v>3.5036043711471598</v>
      </c>
      <c r="M10">
        <f>products_final_scores_scenarios[[#This Row],[rating_raw]]*products_final_scores_scenarios[[#This Row],[reviews_count]]</f>
        <v>646.99999999999977</v>
      </c>
      <c r="N10">
        <f>products_final_scores_scenarios[[#This Row],[rating_smoothed]]*products_final_scores_scenarios[[#This Row],[reviews_count]]</f>
        <v>650.16902993472809</v>
      </c>
      <c r="O10">
        <f>products_final_scores_scenarios[[#This Row],[final_score__balanced]]*products_final_scores_scenarios[[#This Row],[reviews_count]]</f>
        <v>617.16010473412098</v>
      </c>
    </row>
    <row r="11" spans="1:15" x14ac:dyDescent="0.3">
      <c r="A11" s="2" t="s">
        <v>29</v>
      </c>
      <c r="B11" s="2" t="s">
        <v>28</v>
      </c>
      <c r="C11" s="2">
        <v>4</v>
      </c>
      <c r="D11" s="2" t="s">
        <v>22</v>
      </c>
      <c r="E11" s="2">
        <v>67</v>
      </c>
      <c r="F11" s="2">
        <v>4.5970149253731298</v>
      </c>
      <c r="G11" s="2">
        <v>4.5865483868464096</v>
      </c>
      <c r="H11" s="2">
        <v>4.5865483868464096</v>
      </c>
      <c r="I11" s="2">
        <v>4.4597117390065</v>
      </c>
      <c r="J11" s="2">
        <v>4.2716709289844701</v>
      </c>
      <c r="K11" s="2">
        <v>3.8622592917187601</v>
      </c>
      <c r="L11" s="2">
        <v>3.4234871800532898</v>
      </c>
      <c r="M11">
        <f>products_final_scores_scenarios[[#This Row],[rating_raw]]*products_final_scores_scenarios[[#This Row],[reviews_count]]</f>
        <v>307.99999999999972</v>
      </c>
      <c r="N11">
        <f>products_final_scores_scenarios[[#This Row],[rating_smoothed]]*products_final_scores_scenarios[[#This Row],[reviews_count]]</f>
        <v>307.29874191870942</v>
      </c>
      <c r="O11">
        <f>products_final_scores_scenarios[[#This Row],[final_score__balanced]]*products_final_scores_scenarios[[#This Row],[reviews_count]]</f>
        <v>286.20195224195948</v>
      </c>
    </row>
    <row r="12" spans="1:15" x14ac:dyDescent="0.3">
      <c r="A12" s="2" t="s">
        <v>30</v>
      </c>
      <c r="B12" s="2" t="s">
        <v>28</v>
      </c>
      <c r="C12" s="2">
        <v>4</v>
      </c>
      <c r="D12" s="2" t="s">
        <v>22</v>
      </c>
      <c r="E12" s="2">
        <v>4</v>
      </c>
      <c r="F12" s="2">
        <v>4.5</v>
      </c>
      <c r="G12" s="2">
        <v>4.5429045689849197</v>
      </c>
      <c r="H12" s="2">
        <v>4.5429045689849197</v>
      </c>
      <c r="I12" s="2">
        <v>4.5429045689849197</v>
      </c>
      <c r="J12" s="2">
        <v>4.5429045689849197</v>
      </c>
      <c r="K12" s="2">
        <v>4.5429045689849197</v>
      </c>
      <c r="L12" s="2">
        <v>4.5429045689849197</v>
      </c>
      <c r="M12">
        <f>products_final_scores_scenarios[[#This Row],[rating_raw]]*products_final_scores_scenarios[[#This Row],[reviews_count]]</f>
        <v>18</v>
      </c>
      <c r="N12">
        <f>products_final_scores_scenarios[[#This Row],[rating_smoothed]]*products_final_scores_scenarios[[#This Row],[reviews_count]]</f>
        <v>18.171618275939679</v>
      </c>
      <c r="O12">
        <f>products_final_scores_scenarios[[#This Row],[final_score__balanced]]*products_final_scores_scenarios[[#This Row],[reviews_count]]</f>
        <v>18.171618275939679</v>
      </c>
    </row>
    <row r="13" spans="1:15" x14ac:dyDescent="0.3">
      <c r="A13" s="2" t="s">
        <v>31</v>
      </c>
      <c r="B13" s="2" t="s">
        <v>28</v>
      </c>
      <c r="C13" s="2">
        <v>4</v>
      </c>
      <c r="D13" s="2" t="s">
        <v>22</v>
      </c>
      <c r="E13" s="2">
        <v>308</v>
      </c>
      <c r="F13" s="2">
        <v>4.5194805194805197</v>
      </c>
      <c r="G13" s="2">
        <v>4.52143204163304</v>
      </c>
      <c r="H13" s="2">
        <v>4.52143204163304</v>
      </c>
      <c r="I13" s="2">
        <v>4.50980423493694</v>
      </c>
      <c r="J13" s="2">
        <v>4.4866193979778402</v>
      </c>
      <c r="K13" s="2">
        <v>4.3958869097253404</v>
      </c>
      <c r="L13" s="2">
        <v>4.2757145297050796</v>
      </c>
      <c r="M13">
        <f>products_final_scores_scenarios[[#This Row],[rating_raw]]*products_final_scores_scenarios[[#This Row],[reviews_count]]</f>
        <v>1392</v>
      </c>
      <c r="N13">
        <f>products_final_scores_scenarios[[#This Row],[rating_smoothed]]*products_final_scores_scenarios[[#This Row],[reviews_count]]</f>
        <v>1392.6010688229762</v>
      </c>
      <c r="O13">
        <f>products_final_scores_scenarios[[#This Row],[final_score__balanced]]*products_final_scores_scenarios[[#This Row],[reviews_count]]</f>
        <v>1381.8787745771747</v>
      </c>
    </row>
    <row r="14" spans="1:15" x14ac:dyDescent="0.3">
      <c r="A14" s="2" t="s">
        <v>32</v>
      </c>
      <c r="B14" s="2" t="s">
        <v>28</v>
      </c>
      <c r="C14" s="2">
        <v>76</v>
      </c>
      <c r="D14" s="2" t="s">
        <v>14</v>
      </c>
      <c r="E14" s="2">
        <v>11</v>
      </c>
      <c r="F14" s="2">
        <v>4.9090909090909003</v>
      </c>
      <c r="G14" s="2">
        <v>4.6570667271387203</v>
      </c>
      <c r="H14" s="2">
        <v>4.6570667271387203</v>
      </c>
      <c r="I14" s="2">
        <v>4.5629813496608103</v>
      </c>
      <c r="J14" s="2">
        <v>4.4153256223580399</v>
      </c>
      <c r="K14" s="2">
        <v>4.0621432752844404</v>
      </c>
      <c r="L14" s="2">
        <v>3.9321842915296501</v>
      </c>
      <c r="M14">
        <f>products_final_scores_scenarios[[#This Row],[rating_raw]]*products_final_scores_scenarios[[#This Row],[reviews_count]]</f>
        <v>53.999999999999901</v>
      </c>
      <c r="N14">
        <f>products_final_scores_scenarios[[#This Row],[rating_smoothed]]*products_final_scores_scenarios[[#This Row],[reviews_count]]</f>
        <v>51.22773399852592</v>
      </c>
      <c r="O14">
        <f>products_final_scores_scenarios[[#This Row],[final_score__balanced]]*products_final_scores_scenarios[[#This Row],[reviews_count]]</f>
        <v>48.568581845938439</v>
      </c>
    </row>
    <row r="15" spans="1:15" x14ac:dyDescent="0.3">
      <c r="A15" s="2" t="s">
        <v>33</v>
      </c>
      <c r="B15" s="2" t="s">
        <v>34</v>
      </c>
      <c r="C15" s="2">
        <v>225</v>
      </c>
      <c r="D15" s="2" t="s">
        <v>35</v>
      </c>
      <c r="E15" s="2">
        <v>114</v>
      </c>
      <c r="F15" s="2">
        <v>4.70175438596491</v>
      </c>
      <c r="G15" s="2">
        <v>4.6787842963400799</v>
      </c>
      <c r="H15" s="2">
        <v>4.6787842963400799</v>
      </c>
      <c r="I15" s="2">
        <v>4.60759303030654</v>
      </c>
      <c r="J15" s="2">
        <v>4.4941473025496101</v>
      </c>
      <c r="K15" s="2">
        <v>4.2070854722173099</v>
      </c>
      <c r="L15" s="2">
        <v>3.8845975796199199</v>
      </c>
      <c r="M15">
        <f>products_final_scores_scenarios[[#This Row],[rating_raw]]*products_final_scores_scenarios[[#This Row],[reviews_count]]</f>
        <v>535.99999999999977</v>
      </c>
      <c r="N15">
        <f>products_final_scores_scenarios[[#This Row],[rating_smoothed]]*products_final_scores_scenarios[[#This Row],[reviews_count]]</f>
        <v>533.38140978276908</v>
      </c>
      <c r="O15">
        <f>products_final_scores_scenarios[[#This Row],[final_score__balanced]]*products_final_scores_scenarios[[#This Row],[reviews_count]]</f>
        <v>512.33279249065561</v>
      </c>
    </row>
    <row r="16" spans="1:15" x14ac:dyDescent="0.3">
      <c r="A16" s="2" t="s">
        <v>36</v>
      </c>
      <c r="B16" s="2" t="s">
        <v>34</v>
      </c>
      <c r="C16" s="2">
        <v>225</v>
      </c>
      <c r="D16" s="2" t="s">
        <v>35</v>
      </c>
      <c r="E16" s="2">
        <v>10</v>
      </c>
      <c r="F16" s="2">
        <v>4.5999999999999996</v>
      </c>
      <c r="G16" s="2">
        <v>4.5652365236523602</v>
      </c>
      <c r="H16" s="2">
        <v>4.5652365236523602</v>
      </c>
      <c r="I16" s="2">
        <v>4.5652365236523602</v>
      </c>
      <c r="J16" s="2">
        <v>4.5652365236523602</v>
      </c>
      <c r="K16" s="2">
        <v>4.5652365236523602</v>
      </c>
      <c r="L16" s="2">
        <v>4.5652365236523602</v>
      </c>
      <c r="M16">
        <f>products_final_scores_scenarios[[#This Row],[rating_raw]]*products_final_scores_scenarios[[#This Row],[reviews_count]]</f>
        <v>46</v>
      </c>
      <c r="N16">
        <f>products_final_scores_scenarios[[#This Row],[rating_smoothed]]*products_final_scores_scenarios[[#This Row],[reviews_count]]</f>
        <v>45.6523652365236</v>
      </c>
      <c r="O16">
        <f>products_final_scores_scenarios[[#This Row],[final_score__balanced]]*products_final_scores_scenarios[[#This Row],[reviews_count]]</f>
        <v>45.6523652365236</v>
      </c>
    </row>
    <row r="17" spans="1:15" x14ac:dyDescent="0.3">
      <c r="A17" s="2" t="s">
        <v>37</v>
      </c>
      <c r="B17" s="2" t="s">
        <v>34</v>
      </c>
      <c r="C17" s="2">
        <v>225</v>
      </c>
      <c r="D17" s="2" t="s">
        <v>35</v>
      </c>
      <c r="E17" s="2">
        <v>10</v>
      </c>
      <c r="F17" s="2">
        <v>4.5999999999999996</v>
      </c>
      <c r="G17" s="2">
        <v>4.5652365236523602</v>
      </c>
      <c r="H17" s="2">
        <v>4.5652365236523602</v>
      </c>
      <c r="I17" s="2">
        <v>4.5652365236523602</v>
      </c>
      <c r="J17" s="2">
        <v>4.5652365236523602</v>
      </c>
      <c r="K17" s="2">
        <v>4.5652365236523602</v>
      </c>
      <c r="L17" s="2">
        <v>4.5652365236523602</v>
      </c>
      <c r="M17">
        <f>products_final_scores_scenarios[[#This Row],[rating_raw]]*products_final_scores_scenarios[[#This Row],[reviews_count]]</f>
        <v>46</v>
      </c>
      <c r="N17">
        <f>products_final_scores_scenarios[[#This Row],[rating_smoothed]]*products_final_scores_scenarios[[#This Row],[reviews_count]]</f>
        <v>45.6523652365236</v>
      </c>
      <c r="O17">
        <f>products_final_scores_scenarios[[#This Row],[final_score__balanced]]*products_final_scores_scenarios[[#This Row],[reviews_count]]</f>
        <v>45.6523652365236</v>
      </c>
    </row>
    <row r="18" spans="1:15" x14ac:dyDescent="0.3">
      <c r="A18" s="2" t="s">
        <v>38</v>
      </c>
      <c r="B18" s="2" t="s">
        <v>34</v>
      </c>
      <c r="C18" s="2">
        <v>225</v>
      </c>
      <c r="D18" s="2" t="s">
        <v>35</v>
      </c>
      <c r="E18" s="2">
        <v>2</v>
      </c>
      <c r="F18" s="2">
        <v>5</v>
      </c>
      <c r="G18" s="2">
        <v>4.5889588958895802</v>
      </c>
      <c r="H18" s="2">
        <v>4.5889588958895802</v>
      </c>
      <c r="I18" s="2">
        <v>4.5889588958895802</v>
      </c>
      <c r="J18" s="2">
        <v>4.5889588958895802</v>
      </c>
      <c r="K18" s="2">
        <v>4.5889588958895802</v>
      </c>
      <c r="L18" s="2">
        <v>4.5889588958895802</v>
      </c>
      <c r="M18">
        <f>products_final_scores_scenarios[[#This Row],[rating_raw]]*products_final_scores_scenarios[[#This Row],[reviews_count]]</f>
        <v>10</v>
      </c>
      <c r="N18">
        <f>products_final_scores_scenarios[[#This Row],[rating_smoothed]]*products_final_scores_scenarios[[#This Row],[reviews_count]]</f>
        <v>9.1779177917791603</v>
      </c>
      <c r="O18">
        <f>products_final_scores_scenarios[[#This Row],[final_score__balanced]]*products_final_scores_scenarios[[#This Row],[reviews_count]]</f>
        <v>9.1779177917791603</v>
      </c>
    </row>
    <row r="19" spans="1:15" x14ac:dyDescent="0.3">
      <c r="A19" s="2" t="s">
        <v>39</v>
      </c>
      <c r="B19" s="2" t="s">
        <v>34</v>
      </c>
      <c r="C19" s="2">
        <v>225</v>
      </c>
      <c r="D19" s="2" t="s">
        <v>35</v>
      </c>
      <c r="E19" s="2">
        <v>2</v>
      </c>
      <c r="F19" s="2">
        <v>5</v>
      </c>
      <c r="G19" s="2">
        <v>4.5889588958895802</v>
      </c>
      <c r="H19" s="2">
        <v>4.5889588958895802</v>
      </c>
      <c r="I19" s="2">
        <v>4.5889588958895802</v>
      </c>
      <c r="J19" s="2">
        <v>4.5889588958895802</v>
      </c>
      <c r="K19" s="2">
        <v>4.5889588958895802</v>
      </c>
      <c r="L19" s="2">
        <v>4.5889588958895802</v>
      </c>
      <c r="M19">
        <f>products_final_scores_scenarios[[#This Row],[rating_raw]]*products_final_scores_scenarios[[#This Row],[reviews_count]]</f>
        <v>10</v>
      </c>
      <c r="N19">
        <f>products_final_scores_scenarios[[#This Row],[rating_smoothed]]*products_final_scores_scenarios[[#This Row],[reviews_count]]</f>
        <v>9.1779177917791603</v>
      </c>
      <c r="O19">
        <f>products_final_scores_scenarios[[#This Row],[final_score__balanced]]*products_final_scores_scenarios[[#This Row],[reviews_count]]</f>
        <v>9.1779177917791603</v>
      </c>
    </row>
    <row r="20" spans="1:15" x14ac:dyDescent="0.3">
      <c r="A20" s="2" t="s">
        <v>40</v>
      </c>
      <c r="B20" s="2" t="s">
        <v>34</v>
      </c>
      <c r="C20" s="2">
        <v>314</v>
      </c>
      <c r="D20" s="2" t="s">
        <v>41</v>
      </c>
      <c r="E20" s="2">
        <v>210</v>
      </c>
      <c r="F20" s="2">
        <v>4.6571428571428504</v>
      </c>
      <c r="G20" s="2">
        <v>4.6413859069286802</v>
      </c>
      <c r="H20" s="2">
        <v>4.6413859069286802</v>
      </c>
      <c r="I20" s="2">
        <v>4.5896440725039396</v>
      </c>
      <c r="J20" s="2">
        <v>4.5049039617264501</v>
      </c>
      <c r="K20" s="2">
        <v>4.2739058930217997</v>
      </c>
      <c r="L20" s="2">
        <v>4.0101049351687799</v>
      </c>
      <c r="M20">
        <f>products_final_scores_scenarios[[#This Row],[rating_raw]]*products_final_scores_scenarios[[#This Row],[reviews_count]]</f>
        <v>977.99999999999852</v>
      </c>
      <c r="N20">
        <f>products_final_scores_scenarios[[#This Row],[rating_smoothed]]*products_final_scores_scenarios[[#This Row],[reviews_count]]</f>
        <v>974.69104045502286</v>
      </c>
      <c r="O20">
        <f>products_final_scores_scenarios[[#This Row],[final_score__balanced]]*products_final_scores_scenarios[[#This Row],[reviews_count]]</f>
        <v>946.02983196255457</v>
      </c>
    </row>
    <row r="21" spans="1:15" x14ac:dyDescent="0.3">
      <c r="A21" s="2" t="s">
        <v>42</v>
      </c>
      <c r="B21" s="2" t="s">
        <v>34</v>
      </c>
      <c r="C21" s="2">
        <v>314</v>
      </c>
      <c r="D21" s="2" t="s">
        <v>41</v>
      </c>
      <c r="E21" s="2">
        <v>210</v>
      </c>
      <c r="F21" s="2">
        <v>4.6571428571428504</v>
      </c>
      <c r="G21" s="2">
        <v>4.6413859069286802</v>
      </c>
      <c r="H21" s="2">
        <v>4.6413859069286802</v>
      </c>
      <c r="I21" s="2">
        <v>4.5896440725039396</v>
      </c>
      <c r="J21" s="2">
        <v>4.5049039617264501</v>
      </c>
      <c r="K21" s="2">
        <v>4.2739058930217997</v>
      </c>
      <c r="L21" s="2">
        <v>4.0101049351687799</v>
      </c>
      <c r="M21">
        <f>products_final_scores_scenarios[[#This Row],[rating_raw]]*products_final_scores_scenarios[[#This Row],[reviews_count]]</f>
        <v>977.99999999999852</v>
      </c>
      <c r="N21">
        <f>products_final_scores_scenarios[[#This Row],[rating_smoothed]]*products_final_scores_scenarios[[#This Row],[reviews_count]]</f>
        <v>974.69104045502286</v>
      </c>
      <c r="O21">
        <f>products_final_scores_scenarios[[#This Row],[final_score__balanced]]*products_final_scores_scenarios[[#This Row],[reviews_count]]</f>
        <v>946.02983196255457</v>
      </c>
    </row>
    <row r="22" spans="1:15" x14ac:dyDescent="0.3">
      <c r="A22" s="2" t="s">
        <v>43</v>
      </c>
      <c r="B22" s="2" t="s">
        <v>34</v>
      </c>
      <c r="C22" s="2">
        <v>314</v>
      </c>
      <c r="D22" s="2" t="s">
        <v>41</v>
      </c>
      <c r="E22" s="2">
        <v>196</v>
      </c>
      <c r="F22" s="2">
        <v>4.8571428571428497</v>
      </c>
      <c r="G22" s="2">
        <v>4.8218461045999801</v>
      </c>
      <c r="H22" s="2">
        <v>4.8218461045999801</v>
      </c>
      <c r="I22" s="2">
        <v>4.7504332245196199</v>
      </c>
      <c r="J22" s="2">
        <v>4.6383293611161598</v>
      </c>
      <c r="K22" s="2">
        <v>4.3577435366648896</v>
      </c>
      <c r="L22" s="2">
        <v>4.0464364823904004</v>
      </c>
      <c r="M22">
        <f>products_final_scores_scenarios[[#This Row],[rating_raw]]*products_final_scores_scenarios[[#This Row],[reviews_count]]</f>
        <v>951.99999999999852</v>
      </c>
      <c r="N22">
        <f>products_final_scores_scenarios[[#This Row],[rating_smoothed]]*products_final_scores_scenarios[[#This Row],[reviews_count]]</f>
        <v>945.08183650159606</v>
      </c>
      <c r="O22">
        <f>products_final_scores_scenarios[[#This Row],[final_score__balanced]]*products_final_scores_scenarios[[#This Row],[reviews_count]]</f>
        <v>909.11255477876728</v>
      </c>
    </row>
    <row r="23" spans="1:15" x14ac:dyDescent="0.3">
      <c r="A23" s="2" t="s">
        <v>44</v>
      </c>
      <c r="B23" s="2" t="s">
        <v>34</v>
      </c>
      <c r="C23" s="2">
        <v>314</v>
      </c>
      <c r="D23" s="2" t="s">
        <v>41</v>
      </c>
      <c r="E23" s="2">
        <v>147</v>
      </c>
      <c r="F23" s="2">
        <v>4.8571428571428497</v>
      </c>
      <c r="G23" s="2">
        <v>4.8114895724167397</v>
      </c>
      <c r="H23" s="2">
        <v>4.8114895724167397</v>
      </c>
      <c r="I23" s="2">
        <v>4.7400766923363804</v>
      </c>
      <c r="J23" s="2">
        <v>4.6279728289329203</v>
      </c>
      <c r="K23" s="2">
        <v>4.3473870044816501</v>
      </c>
      <c r="L23" s="2">
        <v>4.03607995020716</v>
      </c>
      <c r="M23">
        <f>products_final_scores_scenarios[[#This Row],[rating_raw]]*products_final_scores_scenarios[[#This Row],[reviews_count]]</f>
        <v>713.99999999999886</v>
      </c>
      <c r="N23">
        <f>products_final_scores_scenarios[[#This Row],[rating_smoothed]]*products_final_scores_scenarios[[#This Row],[reviews_count]]</f>
        <v>707.2889671452607</v>
      </c>
      <c r="O23">
        <f>products_final_scores_scenarios[[#This Row],[final_score__balanced]]*products_final_scores_scenarios[[#This Row],[reviews_count]]</f>
        <v>680.31200585313923</v>
      </c>
    </row>
    <row r="24" spans="1:15" x14ac:dyDescent="0.3">
      <c r="A24" s="2" t="s">
        <v>45</v>
      </c>
      <c r="B24" s="2" t="s">
        <v>34</v>
      </c>
      <c r="C24" s="2">
        <v>314</v>
      </c>
      <c r="D24" s="2" t="s">
        <v>41</v>
      </c>
      <c r="E24" s="2">
        <v>196</v>
      </c>
      <c r="F24" s="2">
        <v>4.8571428571428497</v>
      </c>
      <c r="G24" s="2">
        <v>4.8218461045999801</v>
      </c>
      <c r="H24" s="2">
        <v>4.8218461045999801</v>
      </c>
      <c r="I24" s="2">
        <v>4.7504332245196199</v>
      </c>
      <c r="J24" s="2">
        <v>4.6383293611161598</v>
      </c>
      <c r="K24" s="2">
        <v>4.3577435366648896</v>
      </c>
      <c r="L24" s="2">
        <v>4.0464364823904004</v>
      </c>
      <c r="M24">
        <f>products_final_scores_scenarios[[#This Row],[rating_raw]]*products_final_scores_scenarios[[#This Row],[reviews_count]]</f>
        <v>951.99999999999852</v>
      </c>
      <c r="N24">
        <f>products_final_scores_scenarios[[#This Row],[rating_smoothed]]*products_final_scores_scenarios[[#This Row],[reviews_count]]</f>
        <v>945.08183650159606</v>
      </c>
      <c r="O24">
        <f>products_final_scores_scenarios[[#This Row],[final_score__balanced]]*products_final_scores_scenarios[[#This Row],[reviews_count]]</f>
        <v>909.11255477876728</v>
      </c>
    </row>
    <row r="25" spans="1:15" x14ac:dyDescent="0.3">
      <c r="A25" s="2" t="s">
        <v>46</v>
      </c>
      <c r="B25" s="2" t="s">
        <v>34</v>
      </c>
      <c r="C25" s="2">
        <v>314</v>
      </c>
      <c r="D25" s="2" t="s">
        <v>41</v>
      </c>
      <c r="E25" s="2">
        <v>28</v>
      </c>
      <c r="F25" s="2">
        <v>4.8928571428571397</v>
      </c>
      <c r="G25" s="2">
        <v>4.7191408040332599</v>
      </c>
      <c r="H25" s="2">
        <v>4.7191408040332599</v>
      </c>
      <c r="I25" s="2">
        <v>4.64861606743872</v>
      </c>
      <c r="J25" s="2">
        <v>4.5390792681360796</v>
      </c>
      <c r="K25" s="2">
        <v>4.2664354917649003</v>
      </c>
      <c r="L25" s="2">
        <v>3.9667793798263702</v>
      </c>
      <c r="M25">
        <f>products_final_scores_scenarios[[#This Row],[rating_raw]]*products_final_scores_scenarios[[#This Row],[reviews_count]]</f>
        <v>136.99999999999991</v>
      </c>
      <c r="N25">
        <f>products_final_scores_scenarios[[#This Row],[rating_smoothed]]*products_final_scores_scenarios[[#This Row],[reviews_count]]</f>
        <v>132.13594251293128</v>
      </c>
      <c r="O25">
        <f>products_final_scores_scenarios[[#This Row],[final_score__balanced]]*products_final_scores_scenarios[[#This Row],[reviews_count]]</f>
        <v>127.09421950781024</v>
      </c>
    </row>
    <row r="26" spans="1:15" x14ac:dyDescent="0.3">
      <c r="A26" s="2" t="s">
        <v>47</v>
      </c>
      <c r="B26" s="2" t="s">
        <v>34</v>
      </c>
      <c r="C26" s="2">
        <v>314</v>
      </c>
      <c r="D26" s="2" t="s">
        <v>41</v>
      </c>
      <c r="E26" s="2">
        <v>142</v>
      </c>
      <c r="F26" s="2">
        <v>4.7323943661971803</v>
      </c>
      <c r="G26" s="2">
        <v>4.7007330777382501</v>
      </c>
      <c r="H26" s="2">
        <v>4.7007330777382501</v>
      </c>
      <c r="I26" s="2">
        <v>4.6184842407217497</v>
      </c>
      <c r="J26" s="2">
        <v>4.4925187998396403</v>
      </c>
      <c r="K26" s="2">
        <v>4.1907614498627304</v>
      </c>
      <c r="L26" s="2">
        <v>3.8616739003302398</v>
      </c>
      <c r="M26">
        <f>products_final_scores_scenarios[[#This Row],[rating_raw]]*products_final_scores_scenarios[[#This Row],[reviews_count]]</f>
        <v>671.99999999999966</v>
      </c>
      <c r="N26">
        <f>products_final_scores_scenarios[[#This Row],[rating_smoothed]]*products_final_scores_scenarios[[#This Row],[reviews_count]]</f>
        <v>667.50409703883156</v>
      </c>
      <c r="O26">
        <f>products_final_scores_scenarios[[#This Row],[final_score__balanced]]*products_final_scores_scenarios[[#This Row],[reviews_count]]</f>
        <v>637.93766957722892</v>
      </c>
    </row>
    <row r="27" spans="1:15" x14ac:dyDescent="0.3">
      <c r="A27" s="2" t="s">
        <v>48</v>
      </c>
      <c r="B27" s="2" t="s">
        <v>34</v>
      </c>
      <c r="C27" s="2">
        <v>314</v>
      </c>
      <c r="D27" s="2" t="s">
        <v>41</v>
      </c>
      <c r="E27" s="2">
        <v>537</v>
      </c>
      <c r="F27" s="2">
        <v>4.7541899441340698</v>
      </c>
      <c r="G27" s="2">
        <v>4.74419884846247</v>
      </c>
      <c r="H27" s="2">
        <v>4.74419884846247</v>
      </c>
      <c r="I27" s="2">
        <v>4.6722143831294902</v>
      </c>
      <c r="J27" s="2">
        <v>4.5610275879424602</v>
      </c>
      <c r="K27" s="2">
        <v>4.2865492885482901</v>
      </c>
      <c r="L27" s="2">
        <v>3.98611896830919</v>
      </c>
      <c r="M27">
        <f>products_final_scores_scenarios[[#This Row],[rating_raw]]*products_final_scores_scenarios[[#This Row],[reviews_count]]</f>
        <v>2552.9999999999955</v>
      </c>
      <c r="N27">
        <f>products_final_scores_scenarios[[#This Row],[rating_smoothed]]*products_final_scores_scenarios[[#This Row],[reviews_count]]</f>
        <v>2547.6347816243465</v>
      </c>
      <c r="O27">
        <f>products_final_scores_scenarios[[#This Row],[final_score__balanced]]*products_final_scores_scenarios[[#This Row],[reviews_count]]</f>
        <v>2449.2718147251012</v>
      </c>
    </row>
    <row r="28" spans="1:15" x14ac:dyDescent="0.3">
      <c r="A28" s="2" t="s">
        <v>49</v>
      </c>
      <c r="B28" s="2" t="s">
        <v>34</v>
      </c>
      <c r="C28" s="2">
        <v>314</v>
      </c>
      <c r="D28" s="2" t="s">
        <v>41</v>
      </c>
      <c r="E28" s="2">
        <v>71</v>
      </c>
      <c r="F28" s="2">
        <v>4.7323943661971803</v>
      </c>
      <c r="G28" s="2">
        <v>4.6760303142153399</v>
      </c>
      <c r="H28" s="2">
        <v>4.6760303142153399</v>
      </c>
      <c r="I28" s="2">
        <v>4.5937814771988403</v>
      </c>
      <c r="J28" s="2">
        <v>4.4678160363167301</v>
      </c>
      <c r="K28" s="2">
        <v>4.1660586863398201</v>
      </c>
      <c r="L28" s="2">
        <v>3.8369711368073398</v>
      </c>
      <c r="M28">
        <f>products_final_scores_scenarios[[#This Row],[rating_raw]]*products_final_scores_scenarios[[#This Row],[reviews_count]]</f>
        <v>335.99999999999983</v>
      </c>
      <c r="N28">
        <f>products_final_scores_scenarios[[#This Row],[rating_smoothed]]*products_final_scores_scenarios[[#This Row],[reviews_count]]</f>
        <v>331.99815230928914</v>
      </c>
      <c r="O28">
        <f>products_final_scores_scenarios[[#This Row],[final_score__balanced]]*products_final_scores_scenarios[[#This Row],[reviews_count]]</f>
        <v>317.21493857848782</v>
      </c>
    </row>
    <row r="29" spans="1:15" x14ac:dyDescent="0.3">
      <c r="A29" s="2" t="s">
        <v>50</v>
      </c>
      <c r="B29" s="2" t="s">
        <v>34</v>
      </c>
      <c r="C29" s="2">
        <v>314</v>
      </c>
      <c r="D29" s="2" t="s">
        <v>41</v>
      </c>
      <c r="E29" s="2">
        <v>6</v>
      </c>
      <c r="F29" s="2">
        <v>4.3333333333333304</v>
      </c>
      <c r="G29" s="2">
        <v>4.4430291766767898</v>
      </c>
      <c r="H29" s="2">
        <v>4.4430291766767898</v>
      </c>
      <c r="I29" s="2">
        <v>4.3951799287227296</v>
      </c>
      <c r="J29" s="2">
        <v>4.3285516501883698</v>
      </c>
      <c r="K29" s="2">
        <v>4.1768317502364898</v>
      </c>
      <c r="L29" s="2">
        <v>4.1654203391613596</v>
      </c>
      <c r="M29">
        <f>products_final_scores_scenarios[[#This Row],[rating_raw]]*products_final_scores_scenarios[[#This Row],[reviews_count]]</f>
        <v>25.999999999999982</v>
      </c>
      <c r="N29">
        <f>products_final_scores_scenarios[[#This Row],[rating_smoothed]]*products_final_scores_scenarios[[#This Row],[reviews_count]]</f>
        <v>26.658175060060739</v>
      </c>
      <c r="O29">
        <f>products_final_scores_scenarios[[#This Row],[final_score__balanced]]*products_final_scores_scenarios[[#This Row],[reviews_count]]</f>
        <v>25.971309901130219</v>
      </c>
    </row>
    <row r="30" spans="1:15" x14ac:dyDescent="0.3">
      <c r="A30" s="2" t="s">
        <v>51</v>
      </c>
      <c r="B30" s="2" t="s">
        <v>34</v>
      </c>
      <c r="C30" s="2">
        <v>314</v>
      </c>
      <c r="D30" s="2" t="s">
        <v>41</v>
      </c>
      <c r="E30" s="2">
        <v>12</v>
      </c>
      <c r="F30" s="2">
        <v>4.3333333333333304</v>
      </c>
      <c r="G30" s="2">
        <v>4.4224612060498902</v>
      </c>
      <c r="H30" s="2">
        <v>4.4224612060498902</v>
      </c>
      <c r="I30" s="2">
        <v>4.3427124594597997</v>
      </c>
      <c r="J30" s="2">
        <v>4.2316653285691901</v>
      </c>
      <c r="K30" s="2">
        <v>3.9787988286493898</v>
      </c>
      <c r="L30" s="2">
        <v>3.8672435310190298</v>
      </c>
      <c r="M30">
        <f>products_final_scores_scenarios[[#This Row],[rating_raw]]*products_final_scores_scenarios[[#This Row],[reviews_count]]</f>
        <v>51.999999999999964</v>
      </c>
      <c r="N30">
        <f>products_final_scores_scenarios[[#This Row],[rating_smoothed]]*products_final_scores_scenarios[[#This Row],[reviews_count]]</f>
        <v>53.069534472598683</v>
      </c>
      <c r="O30">
        <f>products_final_scores_scenarios[[#This Row],[final_score__balanced]]*products_final_scores_scenarios[[#This Row],[reviews_count]]</f>
        <v>50.779983942830285</v>
      </c>
    </row>
    <row r="31" spans="1:15" x14ac:dyDescent="0.3">
      <c r="A31" s="2" t="s">
        <v>382</v>
      </c>
      <c r="B31" s="2" t="s">
        <v>52</v>
      </c>
      <c r="C31" s="2">
        <v>225</v>
      </c>
      <c r="D31" s="2" t="s">
        <v>35</v>
      </c>
      <c r="E31" s="2">
        <v>11</v>
      </c>
      <c r="F31" s="2">
        <v>5</v>
      </c>
      <c r="G31" s="2">
        <v>4.70829340998616</v>
      </c>
      <c r="H31" s="2">
        <v>4.70829340998616</v>
      </c>
      <c r="I31" s="2">
        <v>4.61420803250825</v>
      </c>
      <c r="J31" s="2">
        <v>4.4665523052054699</v>
      </c>
      <c r="K31" s="2">
        <v>4.1133699581318703</v>
      </c>
      <c r="L31" s="2">
        <v>3.98341097437708</v>
      </c>
      <c r="M31">
        <f>products_final_scores_scenarios[[#This Row],[rating_raw]]*products_final_scores_scenarios[[#This Row],[reviews_count]]</f>
        <v>55</v>
      </c>
      <c r="N31">
        <f>products_final_scores_scenarios[[#This Row],[rating_smoothed]]*products_final_scores_scenarios[[#This Row],[reviews_count]]</f>
        <v>51.791227509847758</v>
      </c>
      <c r="O31">
        <f>products_final_scores_scenarios[[#This Row],[final_score__balanced]]*products_final_scores_scenarios[[#This Row],[reviews_count]]</f>
        <v>49.13207535726017</v>
      </c>
    </row>
    <row r="32" spans="1:15" x14ac:dyDescent="0.3">
      <c r="A32" s="2" t="s">
        <v>53</v>
      </c>
      <c r="B32" s="2" t="s">
        <v>54</v>
      </c>
      <c r="C32" s="2">
        <v>4</v>
      </c>
      <c r="D32" s="2" t="s">
        <v>22</v>
      </c>
      <c r="E32" s="2">
        <v>490</v>
      </c>
      <c r="F32" s="2">
        <v>4.5204081632652997</v>
      </c>
      <c r="G32" s="2">
        <v>4.5216268816777196</v>
      </c>
      <c r="H32" s="2">
        <v>4.5216268816777196</v>
      </c>
      <c r="I32" s="2">
        <v>4.5041169004790804</v>
      </c>
      <c r="J32" s="2">
        <v>4.4712017162567301</v>
      </c>
      <c r="K32" s="2">
        <v>4.3544661500602002</v>
      </c>
      <c r="L32" s="2">
        <v>4.20702762044629</v>
      </c>
      <c r="M32">
        <f>products_final_scores_scenarios[[#This Row],[rating_raw]]*products_final_scores_scenarios[[#This Row],[reviews_count]]</f>
        <v>2214.9999999999968</v>
      </c>
      <c r="N32">
        <f>products_final_scores_scenarios[[#This Row],[rating_smoothed]]*products_final_scores_scenarios[[#This Row],[reviews_count]]</f>
        <v>2215.5971720220828</v>
      </c>
      <c r="O32">
        <f>products_final_scores_scenarios[[#This Row],[final_score__balanced]]*products_final_scores_scenarios[[#This Row],[reviews_count]]</f>
        <v>2190.888840965798</v>
      </c>
    </row>
    <row r="33" spans="1:15" x14ac:dyDescent="0.3">
      <c r="A33" s="2" t="s">
        <v>55</v>
      </c>
      <c r="B33" s="2" t="s">
        <v>54</v>
      </c>
      <c r="C33" s="2">
        <v>4</v>
      </c>
      <c r="D33" s="2" t="s">
        <v>22</v>
      </c>
      <c r="E33" s="2">
        <v>28</v>
      </c>
      <c r="F33" s="2">
        <v>4.46428571428571</v>
      </c>
      <c r="G33" s="2">
        <v>4.5006189511591197</v>
      </c>
      <c r="H33" s="2">
        <v>4.5006189511591197</v>
      </c>
      <c r="I33" s="2">
        <v>4.3819396568290703</v>
      </c>
      <c r="J33" s="2">
        <v>4.2097886361316297</v>
      </c>
      <c r="K33" s="2">
        <v>3.83804558238515</v>
      </c>
      <c r="L33" s="2">
        <v>3.4467924205468798</v>
      </c>
      <c r="M33">
        <f>products_final_scores_scenarios[[#This Row],[rating_raw]]*products_final_scores_scenarios[[#This Row],[reviews_count]]</f>
        <v>124.99999999999989</v>
      </c>
      <c r="N33">
        <f>products_final_scores_scenarios[[#This Row],[rating_smoothed]]*products_final_scores_scenarios[[#This Row],[reviews_count]]</f>
        <v>126.01733063245536</v>
      </c>
      <c r="O33">
        <f>products_final_scores_scenarios[[#This Row],[final_score__balanced]]*products_final_scores_scenarios[[#This Row],[reviews_count]]</f>
        <v>117.87408181168563</v>
      </c>
    </row>
    <row r="34" spans="1:15" x14ac:dyDescent="0.3">
      <c r="A34" s="2" t="s">
        <v>383</v>
      </c>
      <c r="B34" s="2" t="s">
        <v>54</v>
      </c>
      <c r="C34" s="2">
        <v>4</v>
      </c>
      <c r="D34" s="2" t="s">
        <v>22</v>
      </c>
      <c r="E34" s="2">
        <v>2</v>
      </c>
      <c r="F34" s="2">
        <v>5</v>
      </c>
      <c r="G34" s="2">
        <v>4.5922595298017299</v>
      </c>
      <c r="H34" s="2">
        <v>4.5922595298017299</v>
      </c>
      <c r="I34" s="2">
        <v>4.5922595298017299</v>
      </c>
      <c r="J34" s="2">
        <v>4.5922595298017299</v>
      </c>
      <c r="K34" s="2">
        <v>4.5922595298017299</v>
      </c>
      <c r="L34" s="2">
        <v>4.5922595298017299</v>
      </c>
      <c r="M34">
        <f>products_final_scores_scenarios[[#This Row],[rating_raw]]*products_final_scores_scenarios[[#This Row],[reviews_count]]</f>
        <v>10</v>
      </c>
      <c r="N34">
        <f>products_final_scores_scenarios[[#This Row],[rating_smoothed]]*products_final_scores_scenarios[[#This Row],[reviews_count]]</f>
        <v>9.1845190596034598</v>
      </c>
      <c r="O34">
        <f>products_final_scores_scenarios[[#This Row],[final_score__balanced]]*products_final_scores_scenarios[[#This Row],[reviews_count]]</f>
        <v>9.1845190596034598</v>
      </c>
    </row>
    <row r="35" spans="1:15" x14ac:dyDescent="0.3">
      <c r="A35" s="2" t="s">
        <v>56</v>
      </c>
      <c r="B35" s="2" t="s">
        <v>54</v>
      </c>
      <c r="C35" s="2">
        <v>4</v>
      </c>
      <c r="D35" s="2" t="s">
        <v>22</v>
      </c>
      <c r="E35" s="2">
        <v>227</v>
      </c>
      <c r="F35" s="2">
        <v>4.3436123348017599</v>
      </c>
      <c r="G35" s="2">
        <v>4.3604441686462998</v>
      </c>
      <c r="H35" s="2">
        <v>4.3604441686462998</v>
      </c>
      <c r="I35" s="2">
        <v>4.3497724334570398</v>
      </c>
      <c r="J35" s="2">
        <v>4.3280632096059497</v>
      </c>
      <c r="K35" s="2">
        <v>4.2409099277986302</v>
      </c>
      <c r="L35" s="2">
        <v>4.1233721043312803</v>
      </c>
      <c r="M35">
        <f>products_final_scores_scenarios[[#This Row],[rating_raw]]*products_final_scores_scenarios[[#This Row],[reviews_count]]</f>
        <v>985.99999999999955</v>
      </c>
      <c r="N35">
        <f>products_final_scores_scenarios[[#This Row],[rating_smoothed]]*products_final_scores_scenarios[[#This Row],[reviews_count]]</f>
        <v>989.82082628271007</v>
      </c>
      <c r="O35">
        <f>products_final_scores_scenarios[[#This Row],[final_score__balanced]]*products_final_scores_scenarios[[#This Row],[reviews_count]]</f>
        <v>982.47034858055054</v>
      </c>
    </row>
    <row r="36" spans="1:15" x14ac:dyDescent="0.3">
      <c r="A36" s="2" t="s">
        <v>57</v>
      </c>
      <c r="B36" s="2" t="s">
        <v>58</v>
      </c>
      <c r="C36" s="2">
        <v>76</v>
      </c>
      <c r="D36" s="2" t="s">
        <v>14</v>
      </c>
      <c r="E36" s="2">
        <v>3</v>
      </c>
      <c r="F36" s="2">
        <v>5</v>
      </c>
      <c r="G36" s="2">
        <v>4.5812638496217604</v>
      </c>
      <c r="H36" s="2">
        <v>4.5812638496217604</v>
      </c>
      <c r="I36" s="2">
        <v>4.5812638496217604</v>
      </c>
      <c r="J36" s="2">
        <v>4.5812638496217604</v>
      </c>
      <c r="K36" s="2">
        <v>4.5812638496217604</v>
      </c>
      <c r="L36" s="2">
        <v>4.5812638496217604</v>
      </c>
      <c r="M36">
        <f>products_final_scores_scenarios[[#This Row],[rating_raw]]*products_final_scores_scenarios[[#This Row],[reviews_count]]</f>
        <v>15</v>
      </c>
      <c r="N36">
        <f>products_final_scores_scenarios[[#This Row],[rating_smoothed]]*products_final_scores_scenarios[[#This Row],[reviews_count]]</f>
        <v>13.743791548865282</v>
      </c>
      <c r="O36">
        <f>products_final_scores_scenarios[[#This Row],[final_score__balanced]]*products_final_scores_scenarios[[#This Row],[reviews_count]]</f>
        <v>13.743791548865282</v>
      </c>
    </row>
    <row r="37" spans="1:15" x14ac:dyDescent="0.3">
      <c r="A37" s="2" t="s">
        <v>59</v>
      </c>
      <c r="B37" s="2" t="s">
        <v>58</v>
      </c>
      <c r="C37" s="2">
        <v>76</v>
      </c>
      <c r="D37" s="2" t="s">
        <v>14</v>
      </c>
      <c r="E37" s="2">
        <v>6</v>
      </c>
      <c r="F37" s="2">
        <v>5</v>
      </c>
      <c r="G37" s="2">
        <v>4.6295795592807902</v>
      </c>
      <c r="H37" s="2">
        <v>4.6295795592807902</v>
      </c>
      <c r="I37" s="2">
        <v>4.4688135399003404</v>
      </c>
      <c r="J37" s="2">
        <v>4.21604815148185</v>
      </c>
      <c r="K37" s="2">
        <v>3.72901541017829</v>
      </c>
      <c r="L37" s="2">
        <v>3.6679143368670801</v>
      </c>
      <c r="M37">
        <f>products_final_scores_scenarios[[#This Row],[rating_raw]]*products_final_scores_scenarios[[#This Row],[reviews_count]]</f>
        <v>30</v>
      </c>
      <c r="N37">
        <f>products_final_scores_scenarios[[#This Row],[rating_smoothed]]*products_final_scores_scenarios[[#This Row],[reviews_count]]</f>
        <v>27.777477355684741</v>
      </c>
      <c r="O37">
        <f>products_final_scores_scenarios[[#This Row],[final_score__balanced]]*products_final_scores_scenarios[[#This Row],[reviews_count]]</f>
        <v>25.2962889088911</v>
      </c>
    </row>
    <row r="38" spans="1:15" x14ac:dyDescent="0.3">
      <c r="A38" s="2" t="s">
        <v>60</v>
      </c>
      <c r="B38" s="2" t="s">
        <v>58</v>
      </c>
      <c r="C38" s="2">
        <v>76</v>
      </c>
      <c r="D38" s="2" t="s">
        <v>14</v>
      </c>
      <c r="E38" s="2">
        <v>1</v>
      </c>
      <c r="F38" s="2">
        <v>4</v>
      </c>
      <c r="G38" s="2">
        <v>4.4937651686333497</v>
      </c>
      <c r="H38" s="2">
        <v>4.4937651686333497</v>
      </c>
      <c r="I38" s="2">
        <v>4.4937651686333497</v>
      </c>
      <c r="J38" s="2">
        <v>4.4937651686333497</v>
      </c>
      <c r="K38" s="2">
        <v>4.4937651686333497</v>
      </c>
      <c r="L38" s="2">
        <v>4.4937651686333497</v>
      </c>
      <c r="M38">
        <f>products_final_scores_scenarios[[#This Row],[rating_raw]]*products_final_scores_scenarios[[#This Row],[reviews_count]]</f>
        <v>4</v>
      </c>
      <c r="N38">
        <f>products_final_scores_scenarios[[#This Row],[rating_smoothed]]*products_final_scores_scenarios[[#This Row],[reviews_count]]</f>
        <v>4.4937651686333497</v>
      </c>
      <c r="O38">
        <f>products_final_scores_scenarios[[#This Row],[final_score__balanced]]*products_final_scores_scenarios[[#This Row],[reviews_count]]</f>
        <v>4.4937651686333497</v>
      </c>
    </row>
    <row r="39" spans="1:15" x14ac:dyDescent="0.3">
      <c r="A39" s="2" t="s">
        <v>61</v>
      </c>
      <c r="B39" s="2" t="s">
        <v>58</v>
      </c>
      <c r="C39" s="2">
        <v>76</v>
      </c>
      <c r="D39" s="2" t="s">
        <v>14</v>
      </c>
      <c r="E39" s="2">
        <v>2</v>
      </c>
      <c r="F39" s="2">
        <v>1</v>
      </c>
      <c r="G39" s="2">
        <v>4.1985940246045601</v>
      </c>
      <c r="H39" s="2">
        <v>4.1985940246045601</v>
      </c>
      <c r="I39" s="2">
        <v>4.11859402460456</v>
      </c>
      <c r="J39" s="2">
        <v>4.03859402460456</v>
      </c>
      <c r="K39" s="2">
        <v>3.9385940246045599</v>
      </c>
      <c r="L39" s="2">
        <v>3.9719273579379002</v>
      </c>
      <c r="M39">
        <f>products_final_scores_scenarios[[#This Row],[rating_raw]]*products_final_scores_scenarios[[#This Row],[reviews_count]]</f>
        <v>2</v>
      </c>
      <c r="N39">
        <f>products_final_scores_scenarios[[#This Row],[rating_smoothed]]*products_final_scores_scenarios[[#This Row],[reviews_count]]</f>
        <v>8.3971880492091202</v>
      </c>
      <c r="O39">
        <f>products_final_scores_scenarios[[#This Row],[final_score__balanced]]*products_final_scores_scenarios[[#This Row],[reviews_count]]</f>
        <v>8.0771880492091199</v>
      </c>
    </row>
    <row r="40" spans="1:15" x14ac:dyDescent="0.3">
      <c r="A40" s="2" t="s">
        <v>62</v>
      </c>
      <c r="B40" s="2" t="s">
        <v>63</v>
      </c>
      <c r="C40" s="2">
        <v>76</v>
      </c>
      <c r="D40" s="2" t="s">
        <v>14</v>
      </c>
      <c r="E40" s="2">
        <v>2</v>
      </c>
      <c r="F40" s="2">
        <v>4</v>
      </c>
      <c r="G40" s="2">
        <v>4.4713212973318397</v>
      </c>
      <c r="H40" s="2">
        <v>4.4713212973318397</v>
      </c>
      <c r="I40" s="2">
        <v>4.4284503588303901</v>
      </c>
      <c r="J40" s="2">
        <v>4.3794254289320698</v>
      </c>
      <c r="K40" s="2">
        <v>4.2997852689313598</v>
      </c>
      <c r="L40" s="2">
        <v>4.3110437602628897</v>
      </c>
      <c r="M40">
        <f>products_final_scores_scenarios[[#This Row],[rating_raw]]*products_final_scores_scenarios[[#This Row],[reviews_count]]</f>
        <v>8</v>
      </c>
      <c r="N40">
        <f>products_final_scores_scenarios[[#This Row],[rating_smoothed]]*products_final_scores_scenarios[[#This Row],[reviews_count]]</f>
        <v>8.9426425946636794</v>
      </c>
      <c r="O40">
        <f>products_final_scores_scenarios[[#This Row],[final_score__balanced]]*products_final_scores_scenarios[[#This Row],[reviews_count]]</f>
        <v>8.7588508578641395</v>
      </c>
    </row>
    <row r="41" spans="1:15" x14ac:dyDescent="0.3">
      <c r="A41" s="2" t="s">
        <v>64</v>
      </c>
      <c r="B41" s="2" t="s">
        <v>63</v>
      </c>
      <c r="C41" s="2">
        <v>76</v>
      </c>
      <c r="D41" s="2" t="s">
        <v>14</v>
      </c>
      <c r="E41" s="2">
        <v>11</v>
      </c>
      <c r="F41" s="2">
        <v>4.4545454545454497</v>
      </c>
      <c r="G41" s="2">
        <v>4.4957764045580797</v>
      </c>
      <c r="H41" s="2">
        <v>4.4957764045580797</v>
      </c>
      <c r="I41" s="2">
        <v>4.3659028105067996</v>
      </c>
      <c r="J41" s="2">
        <v>4.18712987113694</v>
      </c>
      <c r="K41" s="2">
        <v>3.8182943094761002</v>
      </c>
      <c r="L41" s="2">
        <v>3.7263531652338902</v>
      </c>
      <c r="M41">
        <f>products_final_scores_scenarios[[#This Row],[rating_raw]]*products_final_scores_scenarios[[#This Row],[reviews_count]]</f>
        <v>48.999999999999943</v>
      </c>
      <c r="N41">
        <f>products_final_scores_scenarios[[#This Row],[rating_smoothed]]*products_final_scores_scenarios[[#This Row],[reviews_count]]</f>
        <v>49.453540450138874</v>
      </c>
      <c r="O41">
        <f>products_final_scores_scenarios[[#This Row],[final_score__balanced]]*products_final_scores_scenarios[[#This Row],[reviews_count]]</f>
        <v>46.058428582506338</v>
      </c>
    </row>
    <row r="42" spans="1:15" x14ac:dyDescent="0.3">
      <c r="A42" s="2" t="s">
        <v>65</v>
      </c>
      <c r="B42" s="2" t="s">
        <v>63</v>
      </c>
      <c r="C42" s="2">
        <v>76</v>
      </c>
      <c r="D42" s="2" t="s">
        <v>14</v>
      </c>
      <c r="E42" s="2">
        <v>3</v>
      </c>
      <c r="F42" s="2">
        <v>5</v>
      </c>
      <c r="G42" s="2">
        <v>4.5812638496217604</v>
      </c>
      <c r="H42" s="2">
        <v>4.5812638496217604</v>
      </c>
      <c r="I42" s="2">
        <v>4.5812638496217604</v>
      </c>
      <c r="J42" s="2">
        <v>4.5812638496217604</v>
      </c>
      <c r="K42" s="2">
        <v>4.5812638496217604</v>
      </c>
      <c r="L42" s="2">
        <v>4.5812638496217604</v>
      </c>
      <c r="M42">
        <f>products_final_scores_scenarios[[#This Row],[rating_raw]]*products_final_scores_scenarios[[#This Row],[reviews_count]]</f>
        <v>15</v>
      </c>
      <c r="N42">
        <f>products_final_scores_scenarios[[#This Row],[rating_smoothed]]*products_final_scores_scenarios[[#This Row],[reviews_count]]</f>
        <v>13.743791548865282</v>
      </c>
      <c r="O42">
        <f>products_final_scores_scenarios[[#This Row],[final_score__balanced]]*products_final_scores_scenarios[[#This Row],[reviews_count]]</f>
        <v>13.743791548865282</v>
      </c>
    </row>
    <row r="43" spans="1:15" x14ac:dyDescent="0.3">
      <c r="A43" s="2" t="s">
        <v>66</v>
      </c>
      <c r="B43" s="2" t="s">
        <v>67</v>
      </c>
      <c r="C43" s="2">
        <v>225</v>
      </c>
      <c r="D43" s="2" t="s">
        <v>35</v>
      </c>
      <c r="E43" s="2">
        <v>3</v>
      </c>
      <c r="F43" s="2">
        <v>2.3333333333333299</v>
      </c>
      <c r="G43" s="2">
        <v>4.2590041612856897</v>
      </c>
      <c r="H43" s="2">
        <v>4.2590041612856897</v>
      </c>
      <c r="I43" s="2">
        <v>4.1618087185130603</v>
      </c>
      <c r="J43" s="2">
        <v>4.0276501834301799</v>
      </c>
      <c r="K43" s="2">
        <v>3.8003333425010699</v>
      </c>
      <c r="L43" s="2">
        <v>3.7963227654266398</v>
      </c>
      <c r="M43">
        <f>products_final_scores_scenarios[[#This Row],[rating_raw]]*products_final_scores_scenarios[[#This Row],[reviews_count]]</f>
        <v>6.9999999999999893</v>
      </c>
      <c r="N43">
        <f>products_final_scores_scenarios[[#This Row],[rating_smoothed]]*products_final_scores_scenarios[[#This Row],[reviews_count]]</f>
        <v>12.777012483857069</v>
      </c>
      <c r="O43">
        <f>products_final_scores_scenarios[[#This Row],[final_score__balanced]]*products_final_scores_scenarios[[#This Row],[reviews_count]]</f>
        <v>12.082950550290541</v>
      </c>
    </row>
    <row r="44" spans="1:15" x14ac:dyDescent="0.3">
      <c r="A44" s="2" t="s">
        <v>68</v>
      </c>
      <c r="B44" s="2" t="s">
        <v>54</v>
      </c>
      <c r="C44" s="2">
        <v>4</v>
      </c>
      <c r="D44" s="2" t="s">
        <v>22</v>
      </c>
      <c r="E44" s="2">
        <v>9</v>
      </c>
      <c r="F44" s="2">
        <v>4.55555555555555</v>
      </c>
      <c r="G44" s="2">
        <v>4.5527486088150999</v>
      </c>
      <c r="H44" s="2">
        <v>4.5527486088150999</v>
      </c>
      <c r="I44" s="2">
        <v>4.4545981499726599</v>
      </c>
      <c r="J44" s="2">
        <v>4.3125779353003297</v>
      </c>
      <c r="K44" s="2">
        <v>3.99913705769228</v>
      </c>
      <c r="L44" s="2">
        <v>3.9650643062289501</v>
      </c>
      <c r="M44">
        <f>products_final_scores_scenarios[[#This Row],[rating_raw]]*products_final_scores_scenarios[[#This Row],[reviews_count]]</f>
        <v>40.99999999999995</v>
      </c>
      <c r="N44">
        <f>products_final_scores_scenarios[[#This Row],[rating_smoothed]]*products_final_scores_scenarios[[#This Row],[reviews_count]]</f>
        <v>40.9747374793359</v>
      </c>
      <c r="O44">
        <f>products_final_scores_scenarios[[#This Row],[final_score__balanced]]*products_final_scores_scenarios[[#This Row],[reviews_count]]</f>
        <v>38.81320141770297</v>
      </c>
    </row>
    <row r="45" spans="1:15" x14ac:dyDescent="0.3">
      <c r="A45" s="2" t="s">
        <v>69</v>
      </c>
      <c r="B45" s="2" t="s">
        <v>54</v>
      </c>
      <c r="C45" s="2">
        <v>4</v>
      </c>
      <c r="D45" s="2" t="s">
        <v>22</v>
      </c>
      <c r="E45" s="2">
        <v>526</v>
      </c>
      <c r="F45" s="2">
        <v>4.5304182509505697</v>
      </c>
      <c r="G45" s="2">
        <v>4.5311899444242396</v>
      </c>
      <c r="H45" s="2">
        <v>4.5311899444242396</v>
      </c>
      <c r="I45" s="2">
        <v>4.5109199284939301</v>
      </c>
      <c r="J45" s="2">
        <v>4.4737316913715697</v>
      </c>
      <c r="K45" s="2">
        <v>4.3467825025748796</v>
      </c>
      <c r="L45" s="2">
        <v>4.1895895127038898</v>
      </c>
      <c r="M45">
        <f>products_final_scores_scenarios[[#This Row],[rating_raw]]*products_final_scores_scenarios[[#This Row],[reviews_count]]</f>
        <v>2382.9999999999995</v>
      </c>
      <c r="N45">
        <f>products_final_scores_scenarios[[#This Row],[rating_smoothed]]*products_final_scores_scenarios[[#This Row],[reviews_count]]</f>
        <v>2383.4059107671501</v>
      </c>
      <c r="O45">
        <f>products_final_scores_scenarios[[#This Row],[final_score__balanced]]*products_final_scores_scenarios[[#This Row],[reviews_count]]</f>
        <v>2353.1828696614457</v>
      </c>
    </row>
    <row r="46" spans="1:15" x14ac:dyDescent="0.3">
      <c r="A46" s="2" t="s">
        <v>70</v>
      </c>
      <c r="B46" s="2" t="s">
        <v>54</v>
      </c>
      <c r="C46" s="2">
        <v>4</v>
      </c>
      <c r="D46" s="2" t="s">
        <v>22</v>
      </c>
      <c r="E46" s="2">
        <v>116</v>
      </c>
      <c r="F46" s="2">
        <v>4.4568965517241299</v>
      </c>
      <c r="G46" s="2">
        <v>4.47080668864439</v>
      </c>
      <c r="H46" s="2">
        <v>4.47080668864439</v>
      </c>
      <c r="I46" s="2">
        <v>4.3706927360772898</v>
      </c>
      <c r="J46" s="2">
        <v>4.2116894821122202</v>
      </c>
      <c r="K46" s="2">
        <v>3.8355649835928598</v>
      </c>
      <c r="L46" s="2">
        <v>3.4122961878844702</v>
      </c>
      <c r="M46">
        <f>products_final_scores_scenarios[[#This Row],[rating_raw]]*products_final_scores_scenarios[[#This Row],[reviews_count]]</f>
        <v>516.99999999999909</v>
      </c>
      <c r="N46">
        <f>products_final_scores_scenarios[[#This Row],[rating_smoothed]]*products_final_scores_scenarios[[#This Row],[reviews_count]]</f>
        <v>518.61357588274927</v>
      </c>
      <c r="O46">
        <f>products_final_scores_scenarios[[#This Row],[final_score__balanced]]*products_final_scores_scenarios[[#This Row],[reviews_count]]</f>
        <v>488.55597992501754</v>
      </c>
    </row>
    <row r="47" spans="1:15" x14ac:dyDescent="0.3">
      <c r="A47" s="2" t="s">
        <v>71</v>
      </c>
      <c r="B47" s="2" t="s">
        <v>54</v>
      </c>
      <c r="C47" s="2">
        <v>4</v>
      </c>
      <c r="D47" s="2" t="s">
        <v>22</v>
      </c>
      <c r="E47" s="2">
        <v>28</v>
      </c>
      <c r="F47" s="2">
        <v>3.71428571428571</v>
      </c>
      <c r="G47" s="2">
        <v>4.0631189511591197</v>
      </c>
      <c r="H47" s="2">
        <v>4.0631189511591197</v>
      </c>
      <c r="I47" s="2">
        <v>3.9402272744685898</v>
      </c>
      <c r="J47" s="2">
        <v>3.7576461376319799</v>
      </c>
      <c r="K47" s="2">
        <v>3.35850320903974</v>
      </c>
      <c r="L47" s="2">
        <v>2.93014701238361</v>
      </c>
      <c r="M47">
        <f>products_final_scores_scenarios[[#This Row],[rating_raw]]*products_final_scores_scenarios[[#This Row],[reviews_count]]</f>
        <v>103.99999999999989</v>
      </c>
      <c r="N47">
        <f>products_final_scores_scenarios[[#This Row],[rating_smoothed]]*products_final_scores_scenarios[[#This Row],[reviews_count]]</f>
        <v>113.76733063245536</v>
      </c>
      <c r="O47">
        <f>products_final_scores_scenarios[[#This Row],[final_score__balanced]]*products_final_scores_scenarios[[#This Row],[reviews_count]]</f>
        <v>105.21409185369544</v>
      </c>
    </row>
    <row r="48" spans="1:15" x14ac:dyDescent="0.3">
      <c r="A48" s="2" t="s">
        <v>72</v>
      </c>
      <c r="B48" s="2" t="s">
        <v>58</v>
      </c>
      <c r="C48" s="2">
        <v>76</v>
      </c>
      <c r="D48" s="2" t="s">
        <v>14</v>
      </c>
      <c r="E48" s="2">
        <v>63</v>
      </c>
      <c r="F48" s="2">
        <v>4.1746031746031704</v>
      </c>
      <c r="G48" s="2">
        <v>4.2574586571240998</v>
      </c>
      <c r="H48" s="2">
        <v>4.2574586571240998</v>
      </c>
      <c r="I48" s="2">
        <v>4.2092650290029603</v>
      </c>
      <c r="J48" s="2">
        <v>4.1355208030714898</v>
      </c>
      <c r="K48" s="2">
        <v>3.9403341736467001</v>
      </c>
      <c r="L48" s="2">
        <v>3.7328272672529899</v>
      </c>
      <c r="M48">
        <f>products_final_scores_scenarios[[#This Row],[rating_raw]]*products_final_scores_scenarios[[#This Row],[reviews_count]]</f>
        <v>262.99999999999972</v>
      </c>
      <c r="N48">
        <f>products_final_scores_scenarios[[#This Row],[rating_smoothed]]*products_final_scores_scenarios[[#This Row],[reviews_count]]</f>
        <v>268.21989539881827</v>
      </c>
      <c r="O48">
        <f>products_final_scores_scenarios[[#This Row],[final_score__balanced]]*products_final_scores_scenarios[[#This Row],[reviews_count]]</f>
        <v>260.53781059350388</v>
      </c>
    </row>
    <row r="49" spans="1:15" x14ac:dyDescent="0.3">
      <c r="A49" s="2" t="s">
        <v>73</v>
      </c>
      <c r="B49" s="2" t="s">
        <v>74</v>
      </c>
      <c r="C49" s="2">
        <v>4</v>
      </c>
      <c r="D49" s="2" t="s">
        <v>22</v>
      </c>
      <c r="E49" s="2">
        <v>5</v>
      </c>
      <c r="F49" s="2">
        <v>4.4000000000000004</v>
      </c>
      <c r="G49" s="2">
        <v>4.5211883862255204</v>
      </c>
      <c r="H49" s="2">
        <v>4.5211883862255204</v>
      </c>
      <c r="I49" s="2">
        <v>4.5211883862255204</v>
      </c>
      <c r="J49" s="2">
        <v>4.5211883862255204</v>
      </c>
      <c r="K49" s="2">
        <v>4.5211883862255204</v>
      </c>
      <c r="L49" s="2">
        <v>4.5211883862255204</v>
      </c>
      <c r="M49">
        <f>products_final_scores_scenarios[[#This Row],[rating_raw]]*products_final_scores_scenarios[[#This Row],[reviews_count]]</f>
        <v>22</v>
      </c>
      <c r="N49">
        <f>products_final_scores_scenarios[[#This Row],[rating_smoothed]]*products_final_scores_scenarios[[#This Row],[reviews_count]]</f>
        <v>22.605941931127603</v>
      </c>
      <c r="O49">
        <f>products_final_scores_scenarios[[#This Row],[final_score__balanced]]*products_final_scores_scenarios[[#This Row],[reviews_count]]</f>
        <v>22.605941931127603</v>
      </c>
    </row>
    <row r="50" spans="1:15" x14ac:dyDescent="0.3">
      <c r="A50" s="2" t="s">
        <v>75</v>
      </c>
      <c r="B50" s="2" t="s">
        <v>74</v>
      </c>
      <c r="C50" s="2">
        <v>4</v>
      </c>
      <c r="D50" s="2" t="s">
        <v>22</v>
      </c>
      <c r="E50" s="2">
        <v>2</v>
      </c>
      <c r="F50" s="2">
        <v>4.5</v>
      </c>
      <c r="G50" s="2">
        <v>4.5468049843471796</v>
      </c>
      <c r="H50" s="2">
        <v>4.5468049843471796</v>
      </c>
      <c r="I50" s="2">
        <v>4.5468049843471796</v>
      </c>
      <c r="J50" s="2">
        <v>4.5468049843471796</v>
      </c>
      <c r="K50" s="2">
        <v>4.5468049843471796</v>
      </c>
      <c r="L50" s="2">
        <v>4.5468049843471796</v>
      </c>
      <c r="M50">
        <f>products_final_scores_scenarios[[#This Row],[rating_raw]]*products_final_scores_scenarios[[#This Row],[reviews_count]]</f>
        <v>9</v>
      </c>
      <c r="N50">
        <f>products_final_scores_scenarios[[#This Row],[rating_smoothed]]*products_final_scores_scenarios[[#This Row],[reviews_count]]</f>
        <v>9.0936099686943592</v>
      </c>
      <c r="O50">
        <f>products_final_scores_scenarios[[#This Row],[final_score__balanced]]*products_final_scores_scenarios[[#This Row],[reviews_count]]</f>
        <v>9.0936099686943592</v>
      </c>
    </row>
    <row r="51" spans="1:15" x14ac:dyDescent="0.3">
      <c r="A51" s="2" t="s">
        <v>76</v>
      </c>
      <c r="B51" s="2" t="s">
        <v>77</v>
      </c>
      <c r="C51" s="2">
        <v>4</v>
      </c>
      <c r="D51" s="2" t="s">
        <v>22</v>
      </c>
      <c r="E51" s="2">
        <v>5</v>
      </c>
      <c r="F51" s="2">
        <v>4.5999999999999996</v>
      </c>
      <c r="G51" s="2">
        <v>4.5611883862255196</v>
      </c>
      <c r="H51" s="2">
        <v>4.5611883862255196</v>
      </c>
      <c r="I51" s="2">
        <v>4.5095051527296501</v>
      </c>
      <c r="J51" s="2">
        <v>4.4287343387252402</v>
      </c>
      <c r="K51" s="2">
        <v>4.2394708705825304</v>
      </c>
      <c r="L51" s="2">
        <v>4.2063989337955503</v>
      </c>
      <c r="M51">
        <f>products_final_scores_scenarios[[#This Row],[rating_raw]]*products_final_scores_scenarios[[#This Row],[reviews_count]]</f>
        <v>23</v>
      </c>
      <c r="N51">
        <f>products_final_scores_scenarios[[#This Row],[rating_smoothed]]*products_final_scores_scenarios[[#This Row],[reviews_count]]</f>
        <v>22.805941931127599</v>
      </c>
      <c r="O51">
        <f>products_final_scores_scenarios[[#This Row],[final_score__balanced]]*products_final_scores_scenarios[[#This Row],[reviews_count]]</f>
        <v>22.143671693626203</v>
      </c>
    </row>
    <row r="52" spans="1:15" x14ac:dyDescent="0.3">
      <c r="A52" s="2" t="s">
        <v>78</v>
      </c>
      <c r="B52" s="2" t="s">
        <v>79</v>
      </c>
      <c r="C52" s="2">
        <v>225</v>
      </c>
      <c r="D52" s="2" t="s">
        <v>35</v>
      </c>
      <c r="E52" s="2">
        <v>1</v>
      </c>
      <c r="F52" s="2">
        <v>3</v>
      </c>
      <c r="G52" s="2">
        <v>4.4741474147414699</v>
      </c>
      <c r="H52" s="2">
        <v>4.4741474147414699</v>
      </c>
      <c r="I52" s="2">
        <v>4.4741474147414699</v>
      </c>
      <c r="J52" s="2">
        <v>4.4741474147414699</v>
      </c>
      <c r="K52" s="2">
        <v>4.4741474147414699</v>
      </c>
      <c r="L52" s="2">
        <v>4.4741474147414699</v>
      </c>
      <c r="M52">
        <f>products_final_scores_scenarios[[#This Row],[rating_raw]]*products_final_scores_scenarios[[#This Row],[reviews_count]]</f>
        <v>3</v>
      </c>
      <c r="N52">
        <f>products_final_scores_scenarios[[#This Row],[rating_smoothed]]*products_final_scores_scenarios[[#This Row],[reviews_count]]</f>
        <v>4.4741474147414699</v>
      </c>
      <c r="O52">
        <f>products_final_scores_scenarios[[#This Row],[final_score__balanced]]*products_final_scores_scenarios[[#This Row],[reviews_count]]</f>
        <v>4.4741474147414699</v>
      </c>
    </row>
    <row r="53" spans="1:15" x14ac:dyDescent="0.3">
      <c r="A53" s="2" t="s">
        <v>80</v>
      </c>
      <c r="B53" s="2" t="s">
        <v>81</v>
      </c>
      <c r="C53" s="2">
        <v>4</v>
      </c>
      <c r="D53" s="2" t="s">
        <v>22</v>
      </c>
      <c r="E53" s="2">
        <v>147</v>
      </c>
      <c r="F53" s="2">
        <v>4.83673469387755</v>
      </c>
      <c r="G53" s="2">
        <v>4.8025731117103998</v>
      </c>
      <c r="H53" s="2">
        <v>4.8025731117103998</v>
      </c>
      <c r="I53" s="2">
        <v>4.6734939849407997</v>
      </c>
      <c r="J53" s="2">
        <v>4.4756253017165903</v>
      </c>
      <c r="K53" s="2">
        <v>4.0416735898288296</v>
      </c>
      <c r="L53" s="2">
        <v>3.5646142572000001</v>
      </c>
      <c r="M53">
        <f>products_final_scores_scenarios[[#This Row],[rating_raw]]*products_final_scores_scenarios[[#This Row],[reviews_count]]</f>
        <v>710.99999999999989</v>
      </c>
      <c r="N53">
        <f>products_final_scores_scenarios[[#This Row],[rating_smoothed]]*products_final_scores_scenarios[[#This Row],[reviews_count]]</f>
        <v>705.97824742142882</v>
      </c>
      <c r="O53">
        <f>products_final_scores_scenarios[[#This Row],[final_score__balanced]]*products_final_scores_scenarios[[#This Row],[reviews_count]]</f>
        <v>657.91691935233882</v>
      </c>
    </row>
    <row r="54" spans="1:15" x14ac:dyDescent="0.3">
      <c r="A54" s="2" t="s">
        <v>82</v>
      </c>
      <c r="B54" s="2" t="s">
        <v>81</v>
      </c>
      <c r="C54" s="2">
        <v>4</v>
      </c>
      <c r="D54" s="2" t="s">
        <v>22</v>
      </c>
      <c r="E54" s="2">
        <v>292</v>
      </c>
      <c r="F54" s="2">
        <v>4.77397260273972</v>
      </c>
      <c r="G54" s="2">
        <v>4.7597106078706304</v>
      </c>
      <c r="H54" s="2">
        <v>4.7597106078706304</v>
      </c>
      <c r="I54" s="2">
        <v>4.6611235572057401</v>
      </c>
      <c r="J54" s="2">
        <v>4.5055866234189397</v>
      </c>
      <c r="K54" s="2">
        <v>4.1377093206472901</v>
      </c>
      <c r="L54" s="2">
        <v>3.7258008719075999</v>
      </c>
      <c r="M54">
        <f>products_final_scores_scenarios[[#This Row],[rating_raw]]*products_final_scores_scenarios[[#This Row],[reviews_count]]</f>
        <v>1393.9999999999982</v>
      </c>
      <c r="N54">
        <f>products_final_scores_scenarios[[#This Row],[rating_smoothed]]*products_final_scores_scenarios[[#This Row],[reviews_count]]</f>
        <v>1389.835497498224</v>
      </c>
      <c r="O54">
        <f>products_final_scores_scenarios[[#This Row],[final_score__balanced]]*products_final_scores_scenarios[[#This Row],[reviews_count]]</f>
        <v>1315.6312940383305</v>
      </c>
    </row>
    <row r="55" spans="1:15" x14ac:dyDescent="0.3">
      <c r="A55" s="2" t="s">
        <v>83</v>
      </c>
      <c r="B55" s="2" t="s">
        <v>81</v>
      </c>
      <c r="C55" s="2">
        <v>4</v>
      </c>
      <c r="D55" s="2" t="s">
        <v>22</v>
      </c>
      <c r="E55" s="2">
        <v>54</v>
      </c>
      <c r="F55" s="2">
        <v>4.4259259259259203</v>
      </c>
      <c r="G55" s="2">
        <v>4.4598609412924004</v>
      </c>
      <c r="H55" s="2">
        <v>4.4598609412924004</v>
      </c>
      <c r="I55" s="2">
        <v>4.4388811321381203</v>
      </c>
      <c r="J55" s="2">
        <v>4.4004600115167198</v>
      </c>
      <c r="K55" s="2">
        <v>4.2699254214868301</v>
      </c>
      <c r="L55" s="2">
        <v>4.1084613330078499</v>
      </c>
      <c r="M55">
        <f>products_final_scores_scenarios[[#This Row],[rating_raw]]*products_final_scores_scenarios[[#This Row],[reviews_count]]</f>
        <v>238.99999999999969</v>
      </c>
      <c r="N55">
        <f>products_final_scores_scenarios[[#This Row],[rating_smoothed]]*products_final_scores_scenarios[[#This Row],[reviews_count]]</f>
        <v>240.83249082978963</v>
      </c>
      <c r="O55">
        <f>products_final_scores_scenarios[[#This Row],[final_score__balanced]]*products_final_scores_scenarios[[#This Row],[reviews_count]]</f>
        <v>237.62484062190288</v>
      </c>
    </row>
    <row r="56" spans="1:15" x14ac:dyDescent="0.3">
      <c r="A56" s="2" t="s">
        <v>84</v>
      </c>
      <c r="B56" s="2" t="s">
        <v>81</v>
      </c>
      <c r="C56" s="2">
        <v>4</v>
      </c>
      <c r="D56" s="2" t="s">
        <v>22</v>
      </c>
      <c r="E56" s="2">
        <v>67</v>
      </c>
      <c r="F56" s="2">
        <v>4.4776119402985</v>
      </c>
      <c r="G56" s="2">
        <v>4.4945943638578996</v>
      </c>
      <c r="H56" s="2">
        <v>4.4945943638578996</v>
      </c>
      <c r="I56" s="2">
        <v>4.4544674506392203</v>
      </c>
      <c r="J56" s="2">
        <v>4.3861015312233702</v>
      </c>
      <c r="K56" s="2">
        <v>4.1861576229790503</v>
      </c>
      <c r="L56" s="2">
        <v>3.9510992382965</v>
      </c>
      <c r="M56">
        <f>products_final_scores_scenarios[[#This Row],[rating_raw]]*products_final_scores_scenarios[[#This Row],[reviews_count]]</f>
        <v>299.99999999999949</v>
      </c>
      <c r="N56">
        <f>products_final_scores_scenarios[[#This Row],[rating_smoothed]]*products_final_scores_scenarios[[#This Row],[reviews_count]]</f>
        <v>301.13782237847926</v>
      </c>
      <c r="O56">
        <f>products_final_scores_scenarios[[#This Row],[final_score__balanced]]*products_final_scores_scenarios[[#This Row],[reviews_count]]</f>
        <v>293.86880259196579</v>
      </c>
    </row>
    <row r="57" spans="1:15" x14ac:dyDescent="0.3">
      <c r="A57" s="2" t="s">
        <v>85</v>
      </c>
      <c r="B57" s="2" t="s">
        <v>81</v>
      </c>
      <c r="C57" s="2">
        <v>4</v>
      </c>
      <c r="D57" s="2" t="s">
        <v>22</v>
      </c>
      <c r="E57" s="2">
        <v>242</v>
      </c>
      <c r="F57" s="2">
        <v>4.5454545454545396</v>
      </c>
      <c r="G57" s="2">
        <v>4.5459149223497599</v>
      </c>
      <c r="H57" s="2">
        <v>4.5459149223497599</v>
      </c>
      <c r="I57" s="2">
        <v>4.5382392793616297</v>
      </c>
      <c r="J57" s="2">
        <v>4.5219552269751899</v>
      </c>
      <c r="K57" s="2">
        <v>4.45165559875971</v>
      </c>
      <c r="L57" s="2">
        <v>4.3535463790515401</v>
      </c>
      <c r="M57">
        <f>products_final_scores_scenarios[[#This Row],[rating_raw]]*products_final_scores_scenarios[[#This Row],[reviews_count]]</f>
        <v>1099.9999999999986</v>
      </c>
      <c r="N57">
        <f>products_final_scores_scenarios[[#This Row],[rating_smoothed]]*products_final_scores_scenarios[[#This Row],[reviews_count]]</f>
        <v>1100.1114112086418</v>
      </c>
      <c r="O57">
        <f>products_final_scores_scenarios[[#This Row],[final_score__balanced]]*products_final_scores_scenarios[[#This Row],[reviews_count]]</f>
        <v>1094.313164927996</v>
      </c>
    </row>
    <row r="58" spans="1:15" x14ac:dyDescent="0.3">
      <c r="A58" s="2" t="s">
        <v>86</v>
      </c>
      <c r="B58" s="2" t="s">
        <v>81</v>
      </c>
      <c r="C58" s="2">
        <v>4</v>
      </c>
      <c r="D58" s="2" t="s">
        <v>22</v>
      </c>
      <c r="E58" s="2">
        <v>54</v>
      </c>
      <c r="F58" s="2">
        <v>4.4259259259259203</v>
      </c>
      <c r="G58" s="2">
        <v>4.4598609412924004</v>
      </c>
      <c r="H58" s="2">
        <v>4.4598609412924004</v>
      </c>
      <c r="I58" s="2">
        <v>4.4388811321381203</v>
      </c>
      <c r="J58" s="2">
        <v>4.4004600115167198</v>
      </c>
      <c r="K58" s="2">
        <v>4.2699254214868301</v>
      </c>
      <c r="L58" s="2">
        <v>4.1084613330078499</v>
      </c>
      <c r="M58">
        <f>products_final_scores_scenarios[[#This Row],[rating_raw]]*products_final_scores_scenarios[[#This Row],[reviews_count]]</f>
        <v>238.99999999999969</v>
      </c>
      <c r="N58">
        <f>products_final_scores_scenarios[[#This Row],[rating_smoothed]]*products_final_scores_scenarios[[#This Row],[reviews_count]]</f>
        <v>240.83249082978963</v>
      </c>
      <c r="O58">
        <f>products_final_scores_scenarios[[#This Row],[final_score__balanced]]*products_final_scores_scenarios[[#This Row],[reviews_count]]</f>
        <v>237.62484062190288</v>
      </c>
    </row>
    <row r="59" spans="1:15" x14ac:dyDescent="0.3">
      <c r="A59" s="2" t="s">
        <v>87</v>
      </c>
      <c r="B59" s="2" t="s">
        <v>81</v>
      </c>
      <c r="C59" s="2">
        <v>4</v>
      </c>
      <c r="D59" s="2" t="s">
        <v>22</v>
      </c>
      <c r="E59" s="2">
        <v>242</v>
      </c>
      <c r="F59" s="2">
        <v>4.74380165289256</v>
      </c>
      <c r="G59" s="2">
        <v>4.7291210292199901</v>
      </c>
      <c r="H59" s="2">
        <v>4.7291210292199901</v>
      </c>
      <c r="I59" s="2">
        <v>4.6354080460200997</v>
      </c>
      <c r="J59" s="2">
        <v>4.4869702785718797</v>
      </c>
      <c r="K59" s="2">
        <v>4.1318573159412697</v>
      </c>
      <c r="L59" s="2">
        <v>3.7332306480058999</v>
      </c>
      <c r="M59">
        <f>products_final_scores_scenarios[[#This Row],[rating_raw]]*products_final_scores_scenarios[[#This Row],[reviews_count]]</f>
        <v>1147.9999999999995</v>
      </c>
      <c r="N59">
        <f>products_final_scores_scenarios[[#This Row],[rating_smoothed]]*products_final_scores_scenarios[[#This Row],[reviews_count]]</f>
        <v>1144.4472890712377</v>
      </c>
      <c r="O59">
        <f>products_final_scores_scenarios[[#This Row],[final_score__balanced]]*products_final_scores_scenarios[[#This Row],[reviews_count]]</f>
        <v>1085.8468074143948</v>
      </c>
    </row>
    <row r="60" spans="1:15" x14ac:dyDescent="0.3">
      <c r="A60" s="2" t="s">
        <v>88</v>
      </c>
      <c r="B60" s="2" t="s">
        <v>81</v>
      </c>
      <c r="C60" s="2">
        <v>4</v>
      </c>
      <c r="D60" s="2" t="s">
        <v>22</v>
      </c>
      <c r="E60" s="2">
        <v>809</v>
      </c>
      <c r="F60" s="2">
        <v>4.5265760197775</v>
      </c>
      <c r="G60" s="2">
        <v>4.5271769718403299</v>
      </c>
      <c r="H60" s="2">
        <v>4.5271769718403299</v>
      </c>
      <c r="I60" s="2">
        <v>4.5115749832377503</v>
      </c>
      <c r="J60" s="2">
        <v>4.4815357197593997</v>
      </c>
      <c r="K60" s="2">
        <v>4.3716719955328003</v>
      </c>
      <c r="L60" s="2">
        <v>4.2299623316377604</v>
      </c>
      <c r="M60">
        <f>products_final_scores_scenarios[[#This Row],[rating_raw]]*products_final_scores_scenarios[[#This Row],[reviews_count]]</f>
        <v>3661.9999999999977</v>
      </c>
      <c r="N60">
        <f>products_final_scores_scenarios[[#This Row],[rating_smoothed]]*products_final_scores_scenarios[[#This Row],[reviews_count]]</f>
        <v>3662.4861702188268</v>
      </c>
      <c r="O60">
        <f>products_final_scores_scenarios[[#This Row],[final_score__balanced]]*products_final_scores_scenarios[[#This Row],[reviews_count]]</f>
        <v>3625.5623972853546</v>
      </c>
    </row>
    <row r="61" spans="1:15" x14ac:dyDescent="0.3">
      <c r="A61" s="2" t="s">
        <v>89</v>
      </c>
      <c r="B61" s="2" t="s">
        <v>81</v>
      </c>
      <c r="C61" s="2">
        <v>4</v>
      </c>
      <c r="D61" s="2" t="s">
        <v>22</v>
      </c>
      <c r="E61" s="2">
        <v>808</v>
      </c>
      <c r="F61" s="2">
        <v>4.5272277227722704</v>
      </c>
      <c r="G61" s="2">
        <v>4.5278136590043898</v>
      </c>
      <c r="H61" s="2">
        <v>4.5278136590043898</v>
      </c>
      <c r="I61" s="2">
        <v>4.51220376870147</v>
      </c>
      <c r="J61" s="2">
        <v>4.4821804732252399</v>
      </c>
      <c r="K61" s="2">
        <v>4.3724582534407803</v>
      </c>
      <c r="L61" s="2">
        <v>4.2310754122514496</v>
      </c>
      <c r="M61">
        <f>products_final_scores_scenarios[[#This Row],[rating_raw]]*products_final_scores_scenarios[[#This Row],[reviews_count]]</f>
        <v>3657.9999999999945</v>
      </c>
      <c r="N61">
        <f>products_final_scores_scenarios[[#This Row],[rating_smoothed]]*products_final_scores_scenarios[[#This Row],[reviews_count]]</f>
        <v>3658.4734364755468</v>
      </c>
      <c r="O61">
        <f>products_final_scores_scenarios[[#This Row],[final_score__balanced]]*products_final_scores_scenarios[[#This Row],[reviews_count]]</f>
        <v>3621.6018223659939</v>
      </c>
    </row>
    <row r="62" spans="1:15" x14ac:dyDescent="0.3">
      <c r="A62" s="2" t="s">
        <v>90</v>
      </c>
      <c r="B62" s="2" t="s">
        <v>81</v>
      </c>
      <c r="C62" s="2">
        <v>4</v>
      </c>
      <c r="D62" s="2" t="s">
        <v>22</v>
      </c>
      <c r="E62" s="2">
        <v>32</v>
      </c>
      <c r="F62" s="2">
        <v>4.65625</v>
      </c>
      <c r="G62" s="2">
        <v>4.6159559549161102</v>
      </c>
      <c r="H62" s="2">
        <v>4.6159559549161102</v>
      </c>
      <c r="I62" s="2">
        <v>4.50785166235692</v>
      </c>
      <c r="J62" s="2">
        <v>4.3460199863136797</v>
      </c>
      <c r="K62" s="2">
        <v>3.98132700114268</v>
      </c>
      <c r="L62" s="2">
        <v>3.58869013111322</v>
      </c>
      <c r="M62">
        <f>products_final_scores_scenarios[[#This Row],[rating_raw]]*products_final_scores_scenarios[[#This Row],[reviews_count]]</f>
        <v>149</v>
      </c>
      <c r="N62">
        <f>products_final_scores_scenarios[[#This Row],[rating_smoothed]]*products_final_scores_scenarios[[#This Row],[reviews_count]]</f>
        <v>147.71059055731553</v>
      </c>
      <c r="O62">
        <f>products_final_scores_scenarios[[#This Row],[final_score__balanced]]*products_final_scores_scenarios[[#This Row],[reviews_count]]</f>
        <v>139.07263956203775</v>
      </c>
    </row>
    <row r="63" spans="1:15" x14ac:dyDescent="0.3">
      <c r="A63" s="2" t="s">
        <v>91</v>
      </c>
      <c r="B63" s="2" t="s">
        <v>81</v>
      </c>
      <c r="C63" s="2">
        <v>4</v>
      </c>
      <c r="D63" s="2" t="s">
        <v>22</v>
      </c>
      <c r="E63" s="2">
        <v>808</v>
      </c>
      <c r="F63" s="2">
        <v>4.5272277227722704</v>
      </c>
      <c r="G63" s="2">
        <v>4.5278136590043898</v>
      </c>
      <c r="H63" s="2">
        <v>4.5278136590043898</v>
      </c>
      <c r="I63" s="2">
        <v>4.51220376870147</v>
      </c>
      <c r="J63" s="2">
        <v>4.4821804732252399</v>
      </c>
      <c r="K63" s="2">
        <v>4.3724582534407803</v>
      </c>
      <c r="L63" s="2">
        <v>4.2310754122514496</v>
      </c>
      <c r="M63">
        <f>products_final_scores_scenarios[[#This Row],[rating_raw]]*products_final_scores_scenarios[[#This Row],[reviews_count]]</f>
        <v>3657.9999999999945</v>
      </c>
      <c r="N63">
        <f>products_final_scores_scenarios[[#This Row],[rating_smoothed]]*products_final_scores_scenarios[[#This Row],[reviews_count]]</f>
        <v>3658.4734364755468</v>
      </c>
      <c r="O63">
        <f>products_final_scores_scenarios[[#This Row],[final_score__balanced]]*products_final_scores_scenarios[[#This Row],[reviews_count]]</f>
        <v>3621.6018223659939</v>
      </c>
    </row>
    <row r="64" spans="1:15" x14ac:dyDescent="0.3">
      <c r="A64" s="2" t="s">
        <v>384</v>
      </c>
      <c r="B64" s="2" t="s">
        <v>81</v>
      </c>
      <c r="C64" s="2">
        <v>4</v>
      </c>
      <c r="D64" s="2" t="s">
        <v>22</v>
      </c>
      <c r="E64" s="2">
        <v>2</v>
      </c>
      <c r="F64" s="2">
        <v>5</v>
      </c>
      <c r="G64" s="2">
        <v>4.5922595298017299</v>
      </c>
      <c r="H64" s="2">
        <v>4.5922595298017299</v>
      </c>
      <c r="I64" s="2">
        <v>4.5922595298017299</v>
      </c>
      <c r="J64" s="2">
        <v>4.5922595298017299</v>
      </c>
      <c r="K64" s="2">
        <v>4.5922595298017299</v>
      </c>
      <c r="L64" s="2">
        <v>4.5922595298017299</v>
      </c>
      <c r="M64">
        <f>products_final_scores_scenarios[[#This Row],[rating_raw]]*products_final_scores_scenarios[[#This Row],[reviews_count]]</f>
        <v>10</v>
      </c>
      <c r="N64">
        <f>products_final_scores_scenarios[[#This Row],[rating_smoothed]]*products_final_scores_scenarios[[#This Row],[reviews_count]]</f>
        <v>9.1845190596034598</v>
      </c>
      <c r="O64">
        <f>products_final_scores_scenarios[[#This Row],[final_score__balanced]]*products_final_scores_scenarios[[#This Row],[reviews_count]]</f>
        <v>9.1845190596034598</v>
      </c>
    </row>
    <row r="65" spans="1:15" x14ac:dyDescent="0.3">
      <c r="A65" s="2" t="s">
        <v>385</v>
      </c>
      <c r="B65" s="2" t="s">
        <v>81</v>
      </c>
      <c r="C65" s="2">
        <v>4</v>
      </c>
      <c r="D65" s="2" t="s">
        <v>22</v>
      </c>
      <c r="E65" s="2">
        <v>4</v>
      </c>
      <c r="F65" s="2">
        <v>5</v>
      </c>
      <c r="G65" s="2">
        <v>4.6262379023182501</v>
      </c>
      <c r="H65" s="2">
        <v>4.6262379023182501</v>
      </c>
      <c r="I65" s="2">
        <v>4.6262379023182501</v>
      </c>
      <c r="J65" s="2">
        <v>4.6262379023182501</v>
      </c>
      <c r="K65" s="2">
        <v>4.6262379023182501</v>
      </c>
      <c r="L65" s="2">
        <v>4.6262379023182501</v>
      </c>
      <c r="M65">
        <f>products_final_scores_scenarios[[#This Row],[rating_raw]]*products_final_scores_scenarios[[#This Row],[reviews_count]]</f>
        <v>20</v>
      </c>
      <c r="N65">
        <f>products_final_scores_scenarios[[#This Row],[rating_smoothed]]*products_final_scores_scenarios[[#This Row],[reviews_count]]</f>
        <v>18.504951609273</v>
      </c>
      <c r="O65">
        <f>products_final_scores_scenarios[[#This Row],[final_score__balanced]]*products_final_scores_scenarios[[#This Row],[reviews_count]]</f>
        <v>18.504951609273</v>
      </c>
    </row>
    <row r="66" spans="1:15" x14ac:dyDescent="0.3">
      <c r="A66" s="2" t="s">
        <v>92</v>
      </c>
      <c r="B66" s="2" t="s">
        <v>81</v>
      </c>
      <c r="C66" s="2">
        <v>4</v>
      </c>
      <c r="D66" s="2" t="s">
        <v>22</v>
      </c>
      <c r="E66" s="2">
        <v>1</v>
      </c>
      <c r="F66" s="2">
        <v>5</v>
      </c>
      <c r="G66" s="2">
        <v>4.5728433169351401</v>
      </c>
      <c r="H66" s="2">
        <v>4.5728433169351401</v>
      </c>
      <c r="I66" s="2">
        <v>4.5728433169351401</v>
      </c>
      <c r="J66" s="2">
        <v>4.5728433169351401</v>
      </c>
      <c r="K66" s="2">
        <v>4.5728433169351401</v>
      </c>
      <c r="L66" s="2">
        <v>4.5728433169351401</v>
      </c>
      <c r="M66">
        <f>products_final_scores_scenarios[[#This Row],[rating_raw]]*products_final_scores_scenarios[[#This Row],[reviews_count]]</f>
        <v>5</v>
      </c>
      <c r="N66">
        <f>products_final_scores_scenarios[[#This Row],[rating_smoothed]]*products_final_scores_scenarios[[#This Row],[reviews_count]]</f>
        <v>4.5728433169351401</v>
      </c>
      <c r="O66">
        <f>products_final_scores_scenarios[[#This Row],[final_score__balanced]]*products_final_scores_scenarios[[#This Row],[reviews_count]]</f>
        <v>4.5728433169351401</v>
      </c>
    </row>
    <row r="67" spans="1:15" x14ac:dyDescent="0.3">
      <c r="A67" s="2" t="s">
        <v>93</v>
      </c>
      <c r="B67" s="2" t="s">
        <v>81</v>
      </c>
      <c r="C67" s="2">
        <v>4</v>
      </c>
      <c r="D67" s="2" t="s">
        <v>22</v>
      </c>
      <c r="E67" s="2">
        <v>2</v>
      </c>
      <c r="F67" s="2">
        <v>5</v>
      </c>
      <c r="G67" s="2">
        <v>4.5922595298017299</v>
      </c>
      <c r="H67" s="2">
        <v>4.5922595298017299</v>
      </c>
      <c r="I67" s="2">
        <v>4.5922595298017299</v>
      </c>
      <c r="J67" s="2">
        <v>4.5922595298017299</v>
      </c>
      <c r="K67" s="2">
        <v>4.5922595298017299</v>
      </c>
      <c r="L67" s="2">
        <v>4.5922595298017299</v>
      </c>
      <c r="M67">
        <f>products_final_scores_scenarios[[#This Row],[rating_raw]]*products_final_scores_scenarios[[#This Row],[reviews_count]]</f>
        <v>10</v>
      </c>
      <c r="N67">
        <f>products_final_scores_scenarios[[#This Row],[rating_smoothed]]*products_final_scores_scenarios[[#This Row],[reviews_count]]</f>
        <v>9.1845190596034598</v>
      </c>
      <c r="O67">
        <f>products_final_scores_scenarios[[#This Row],[final_score__balanced]]*products_final_scores_scenarios[[#This Row],[reviews_count]]</f>
        <v>9.1845190596034598</v>
      </c>
    </row>
    <row r="68" spans="1:15" x14ac:dyDescent="0.3">
      <c r="A68" s="2" t="s">
        <v>94</v>
      </c>
      <c r="B68" s="2" t="s">
        <v>81</v>
      </c>
      <c r="C68" s="2">
        <v>4</v>
      </c>
      <c r="D68" s="2" t="s">
        <v>22</v>
      </c>
      <c r="E68" s="2">
        <v>65</v>
      </c>
      <c r="F68" s="2">
        <v>4.5076923076922997</v>
      </c>
      <c r="G68" s="2">
        <v>4.5179965841839698</v>
      </c>
      <c r="H68" s="2">
        <v>4.5179965841839698</v>
      </c>
      <c r="I68" s="2">
        <v>4.50029567616384</v>
      </c>
      <c r="J68" s="2">
        <v>4.4670934241050499</v>
      </c>
      <c r="K68" s="2">
        <v>4.3495706783444001</v>
      </c>
      <c r="L68" s="2">
        <v>4.20144610521562</v>
      </c>
      <c r="M68">
        <f>products_final_scores_scenarios[[#This Row],[rating_raw]]*products_final_scores_scenarios[[#This Row],[reviews_count]]</f>
        <v>292.99999999999949</v>
      </c>
      <c r="N68">
        <f>products_final_scores_scenarios[[#This Row],[rating_smoothed]]*products_final_scores_scenarios[[#This Row],[reviews_count]]</f>
        <v>293.66977797195801</v>
      </c>
      <c r="O68">
        <f>products_final_scores_scenarios[[#This Row],[final_score__balanced]]*products_final_scores_scenarios[[#This Row],[reviews_count]]</f>
        <v>290.36107256682823</v>
      </c>
    </row>
    <row r="69" spans="1:15" x14ac:dyDescent="0.3">
      <c r="A69" s="2" t="s">
        <v>95</v>
      </c>
      <c r="B69" s="2" t="s">
        <v>96</v>
      </c>
      <c r="C69" s="2">
        <v>4</v>
      </c>
      <c r="D69" s="2" t="s">
        <v>22</v>
      </c>
      <c r="E69" s="2">
        <v>2</v>
      </c>
      <c r="F69" s="2">
        <v>5</v>
      </c>
      <c r="G69" s="2">
        <v>4.5922595298017299</v>
      </c>
      <c r="H69" s="2">
        <v>4.5922595298017299</v>
      </c>
      <c r="I69" s="2">
        <v>4.5922595298017299</v>
      </c>
      <c r="J69" s="2">
        <v>4.5922595298017299</v>
      </c>
      <c r="K69" s="2">
        <v>4.5922595298017299</v>
      </c>
      <c r="L69" s="2">
        <v>4.5922595298017299</v>
      </c>
      <c r="M69">
        <f>products_final_scores_scenarios[[#This Row],[rating_raw]]*products_final_scores_scenarios[[#This Row],[reviews_count]]</f>
        <v>10</v>
      </c>
      <c r="N69">
        <f>products_final_scores_scenarios[[#This Row],[rating_smoothed]]*products_final_scores_scenarios[[#This Row],[reviews_count]]</f>
        <v>9.1845190596034598</v>
      </c>
      <c r="O69">
        <f>products_final_scores_scenarios[[#This Row],[final_score__balanced]]*products_final_scores_scenarios[[#This Row],[reviews_count]]</f>
        <v>9.1845190596034598</v>
      </c>
    </row>
    <row r="70" spans="1:15" x14ac:dyDescent="0.3">
      <c r="A70" s="2" t="s">
        <v>97</v>
      </c>
      <c r="B70" s="2" t="s">
        <v>98</v>
      </c>
      <c r="C70" s="2">
        <v>4</v>
      </c>
      <c r="D70" s="2" t="s">
        <v>22</v>
      </c>
      <c r="E70" s="2">
        <v>127</v>
      </c>
      <c r="F70" s="2">
        <v>4.8661417322834604</v>
      </c>
      <c r="G70" s="2">
        <v>4.82333135820162</v>
      </c>
      <c r="H70" s="2">
        <v>4.82333135820162</v>
      </c>
      <c r="I70" s="2">
        <v>4.75379537383668</v>
      </c>
      <c r="J70" s="2">
        <v>4.6414470271958104</v>
      </c>
      <c r="K70" s="2">
        <v>4.3526823478415499</v>
      </c>
      <c r="L70" s="2">
        <v>4.0248004151335701</v>
      </c>
      <c r="M70">
        <f>products_final_scores_scenarios[[#This Row],[rating_raw]]*products_final_scores_scenarios[[#This Row],[reviews_count]]</f>
        <v>617.99999999999943</v>
      </c>
      <c r="N70">
        <f>products_final_scores_scenarios[[#This Row],[rating_smoothed]]*products_final_scores_scenarios[[#This Row],[reviews_count]]</f>
        <v>612.56308249160577</v>
      </c>
      <c r="O70">
        <f>products_final_scores_scenarios[[#This Row],[final_score__balanced]]*products_final_scores_scenarios[[#This Row],[reviews_count]]</f>
        <v>589.46377245386793</v>
      </c>
    </row>
    <row r="71" spans="1:15" x14ac:dyDescent="0.3">
      <c r="A71" s="2" t="s">
        <v>99</v>
      </c>
      <c r="B71" s="2" t="s">
        <v>100</v>
      </c>
      <c r="C71" s="2">
        <v>4</v>
      </c>
      <c r="D71" s="2" t="s">
        <v>22</v>
      </c>
      <c r="E71" s="2">
        <v>1</v>
      </c>
      <c r="F71" s="2">
        <v>1</v>
      </c>
      <c r="G71" s="2">
        <v>4.3823671264589503</v>
      </c>
      <c r="H71" s="2">
        <v>4.3823671264589503</v>
      </c>
      <c r="I71" s="2">
        <v>4.3823671264589503</v>
      </c>
      <c r="J71" s="2">
        <v>4.3823671264589503</v>
      </c>
      <c r="K71" s="2">
        <v>4.3823671264589503</v>
      </c>
      <c r="L71" s="2">
        <v>4.3823671264589503</v>
      </c>
      <c r="M71">
        <f>products_final_scores_scenarios[[#This Row],[rating_raw]]*products_final_scores_scenarios[[#This Row],[reviews_count]]</f>
        <v>1</v>
      </c>
      <c r="N71">
        <f>products_final_scores_scenarios[[#This Row],[rating_smoothed]]*products_final_scores_scenarios[[#This Row],[reviews_count]]</f>
        <v>4.3823671264589503</v>
      </c>
      <c r="O71">
        <f>products_final_scores_scenarios[[#This Row],[final_score__balanced]]*products_final_scores_scenarios[[#This Row],[reviews_count]]</f>
        <v>4.3823671264589503</v>
      </c>
    </row>
    <row r="72" spans="1:15" x14ac:dyDescent="0.3">
      <c r="A72" s="2" t="s">
        <v>101</v>
      </c>
      <c r="B72" s="2" t="s">
        <v>102</v>
      </c>
      <c r="C72" s="2">
        <v>76</v>
      </c>
      <c r="D72" s="2" t="s">
        <v>14</v>
      </c>
      <c r="E72" s="2">
        <v>4</v>
      </c>
      <c r="F72" s="2">
        <v>5</v>
      </c>
      <c r="G72" s="2">
        <v>4.5987111892208503</v>
      </c>
      <c r="H72" s="2">
        <v>4.5987111892208503</v>
      </c>
      <c r="I72" s="2">
        <v>4.49153384296722</v>
      </c>
      <c r="J72" s="2">
        <v>4.3230235840215601</v>
      </c>
      <c r="K72" s="2">
        <v>3.9983350898191801</v>
      </c>
      <c r="L72" s="2">
        <v>3.9576010409450499</v>
      </c>
      <c r="M72">
        <f>products_final_scores_scenarios[[#This Row],[rating_raw]]*products_final_scores_scenarios[[#This Row],[reviews_count]]</f>
        <v>20</v>
      </c>
      <c r="N72">
        <f>products_final_scores_scenarios[[#This Row],[rating_smoothed]]*products_final_scores_scenarios[[#This Row],[reviews_count]]</f>
        <v>18.394844756883401</v>
      </c>
      <c r="O72">
        <f>products_final_scores_scenarios[[#This Row],[final_score__balanced]]*products_final_scores_scenarios[[#This Row],[reviews_count]]</f>
        <v>17.29209433608624</v>
      </c>
    </row>
    <row r="73" spans="1:15" x14ac:dyDescent="0.3">
      <c r="A73" s="2" t="s">
        <v>103</v>
      </c>
      <c r="B73" s="2" t="s">
        <v>104</v>
      </c>
      <c r="C73" s="2">
        <v>314</v>
      </c>
      <c r="D73" s="2" t="s">
        <v>41</v>
      </c>
      <c r="E73" s="2">
        <v>27</v>
      </c>
      <c r="F73" s="2">
        <v>4.1111111111111098</v>
      </c>
      <c r="G73" s="2">
        <v>4.2663565658211997</v>
      </c>
      <c r="H73" s="2">
        <v>4.2663565658211997</v>
      </c>
      <c r="I73" s="2">
        <v>4.1573005004407104</v>
      </c>
      <c r="J73" s="2">
        <v>3.9995002619158901</v>
      </c>
      <c r="K73" s="2">
        <v>3.6512326201291798</v>
      </c>
      <c r="L73" s="2">
        <v>3.2868827281776101</v>
      </c>
      <c r="M73">
        <f>products_final_scores_scenarios[[#This Row],[rating_raw]]*products_final_scores_scenarios[[#This Row],[reviews_count]]</f>
        <v>110.99999999999997</v>
      </c>
      <c r="N73">
        <f>products_final_scores_scenarios[[#This Row],[rating_smoothed]]*products_final_scores_scenarios[[#This Row],[reviews_count]]</f>
        <v>115.19162727717239</v>
      </c>
      <c r="O73">
        <f>products_final_scores_scenarios[[#This Row],[final_score__balanced]]*products_final_scores_scenarios[[#This Row],[reviews_count]]</f>
        <v>107.98650707172904</v>
      </c>
    </row>
    <row r="74" spans="1:15" x14ac:dyDescent="0.3">
      <c r="A74" s="2" t="s">
        <v>105</v>
      </c>
      <c r="B74" s="2" t="s">
        <v>104</v>
      </c>
      <c r="C74" s="2">
        <v>314</v>
      </c>
      <c r="D74" s="2" t="s">
        <v>41</v>
      </c>
      <c r="E74" s="2">
        <v>35</v>
      </c>
      <c r="F74" s="2">
        <v>4.3428571428571399</v>
      </c>
      <c r="G74" s="2">
        <v>4.3912501562472102</v>
      </c>
      <c r="H74" s="2">
        <v>4.3912501562472102</v>
      </c>
      <c r="I74" s="2">
        <v>4.3612656481240197</v>
      </c>
      <c r="J74" s="2">
        <v>4.31028374740408</v>
      </c>
      <c r="K74" s="2">
        <v>4.1547909562650496</v>
      </c>
      <c r="L74" s="2">
        <v>3.97392511070883</v>
      </c>
      <c r="M74">
        <f>products_final_scores_scenarios[[#This Row],[rating_raw]]*products_final_scores_scenarios[[#This Row],[reviews_count]]</f>
        <v>151.99999999999989</v>
      </c>
      <c r="N74">
        <f>products_final_scores_scenarios[[#This Row],[rating_smoothed]]*products_final_scores_scenarios[[#This Row],[reviews_count]]</f>
        <v>153.69375546865234</v>
      </c>
      <c r="O74">
        <f>products_final_scores_scenarios[[#This Row],[final_score__balanced]]*products_final_scores_scenarios[[#This Row],[reviews_count]]</f>
        <v>150.8599311591428</v>
      </c>
    </row>
    <row r="75" spans="1:15" x14ac:dyDescent="0.3">
      <c r="A75" s="2" t="s">
        <v>106</v>
      </c>
      <c r="B75" s="2" t="s">
        <v>104</v>
      </c>
      <c r="C75" s="2">
        <v>314</v>
      </c>
      <c r="D75" s="2" t="s">
        <v>41</v>
      </c>
      <c r="E75" s="2">
        <v>168</v>
      </c>
      <c r="F75" s="2">
        <v>4.4583333333333304</v>
      </c>
      <c r="G75" s="2">
        <v>4.4602061627318896</v>
      </c>
      <c r="H75" s="2">
        <v>4.4602061627318896</v>
      </c>
      <c r="I75" s="2">
        <v>4.3584901925826403</v>
      </c>
      <c r="J75" s="2">
        <v>4.2043915593665702</v>
      </c>
      <c r="K75" s="2">
        <v>3.8496671969961298</v>
      </c>
      <c r="L75" s="2">
        <v>3.4646762185284299</v>
      </c>
      <c r="M75">
        <f>products_final_scores_scenarios[[#This Row],[rating_raw]]*products_final_scores_scenarios[[#This Row],[reviews_count]]</f>
        <v>748.99999999999955</v>
      </c>
      <c r="N75">
        <f>products_final_scores_scenarios[[#This Row],[rating_smoothed]]*products_final_scores_scenarios[[#This Row],[reviews_count]]</f>
        <v>749.31463533895749</v>
      </c>
      <c r="O75">
        <f>products_final_scores_scenarios[[#This Row],[final_score__balanced]]*products_final_scores_scenarios[[#This Row],[reviews_count]]</f>
        <v>706.33778197358379</v>
      </c>
    </row>
    <row r="76" spans="1:15" x14ac:dyDescent="0.3">
      <c r="A76" s="2" t="s">
        <v>107</v>
      </c>
      <c r="B76" s="2" t="s">
        <v>108</v>
      </c>
      <c r="C76" s="2">
        <v>76</v>
      </c>
      <c r="D76" s="2" t="s">
        <v>14</v>
      </c>
      <c r="E76" s="2">
        <v>4</v>
      </c>
      <c r="F76" s="2">
        <v>3.5</v>
      </c>
      <c r="G76" s="2">
        <v>4.3487111892208503</v>
      </c>
      <c r="H76" s="2">
        <v>4.3487111892208503</v>
      </c>
      <c r="I76" s="2">
        <v>4.3487111892208503</v>
      </c>
      <c r="J76" s="2">
        <v>4.3487111892208503</v>
      </c>
      <c r="K76" s="2">
        <v>4.3487111892208503</v>
      </c>
      <c r="L76" s="2">
        <v>4.3487111892208503</v>
      </c>
      <c r="M76">
        <f>products_final_scores_scenarios[[#This Row],[rating_raw]]*products_final_scores_scenarios[[#This Row],[reviews_count]]</f>
        <v>14</v>
      </c>
      <c r="N76">
        <f>products_final_scores_scenarios[[#This Row],[rating_smoothed]]*products_final_scores_scenarios[[#This Row],[reviews_count]]</f>
        <v>17.394844756883401</v>
      </c>
      <c r="O76">
        <f>products_final_scores_scenarios[[#This Row],[final_score__balanced]]*products_final_scores_scenarios[[#This Row],[reviews_count]]</f>
        <v>17.394844756883401</v>
      </c>
    </row>
    <row r="77" spans="1:15" x14ac:dyDescent="0.3">
      <c r="A77" s="2" t="s">
        <v>109</v>
      </c>
      <c r="B77" s="2" t="s">
        <v>108</v>
      </c>
      <c r="C77" s="2">
        <v>76</v>
      </c>
      <c r="D77" s="2" t="s">
        <v>14</v>
      </c>
      <c r="E77" s="2">
        <v>11</v>
      </c>
      <c r="F77" s="2">
        <v>4.0909090909090899</v>
      </c>
      <c r="G77" s="2">
        <v>4.3667441464935601</v>
      </c>
      <c r="H77" s="2">
        <v>4.3667441464935601</v>
      </c>
      <c r="I77" s="2">
        <v>4.2648183208924904</v>
      </c>
      <c r="J77" s="2">
        <v>4.0878121025158496</v>
      </c>
      <c r="K77" s="2">
        <v>3.6443370978133598</v>
      </c>
      <c r="L77" s="2">
        <v>3.4485597280553999</v>
      </c>
      <c r="M77">
        <f>products_final_scores_scenarios[[#This Row],[rating_raw]]*products_final_scores_scenarios[[#This Row],[reviews_count]]</f>
        <v>44.999999999999986</v>
      </c>
      <c r="N77">
        <f>products_final_scores_scenarios[[#This Row],[rating_smoothed]]*products_final_scores_scenarios[[#This Row],[reviews_count]]</f>
        <v>48.034185611429159</v>
      </c>
      <c r="O77">
        <f>products_final_scores_scenarios[[#This Row],[final_score__balanced]]*products_final_scores_scenarios[[#This Row],[reviews_count]]</f>
        <v>44.965933127674347</v>
      </c>
    </row>
    <row r="78" spans="1:15" x14ac:dyDescent="0.3">
      <c r="A78" s="2" t="s">
        <v>110</v>
      </c>
      <c r="B78" s="2" t="s">
        <v>108</v>
      </c>
      <c r="C78" s="2">
        <v>76</v>
      </c>
      <c r="D78" s="2" t="s">
        <v>14</v>
      </c>
      <c r="E78" s="2">
        <v>6</v>
      </c>
      <c r="F78" s="2">
        <v>4.3333333333333304</v>
      </c>
      <c r="G78" s="2">
        <v>4.4757334054346298</v>
      </c>
      <c r="H78" s="2">
        <v>4.4757334054346298</v>
      </c>
      <c r="I78" s="2">
        <v>4.3864435515119196</v>
      </c>
      <c r="J78" s="2">
        <v>4.2764164550961503</v>
      </c>
      <c r="K78" s="2">
        <v>4.0722535562166398</v>
      </c>
      <c r="L78" s="2">
        <v>4.0831352223856898</v>
      </c>
      <c r="M78">
        <f>products_final_scores_scenarios[[#This Row],[rating_raw]]*products_final_scores_scenarios[[#This Row],[reviews_count]]</f>
        <v>25.999999999999982</v>
      </c>
      <c r="N78">
        <f>products_final_scores_scenarios[[#This Row],[rating_smoothed]]*products_final_scores_scenarios[[#This Row],[reviews_count]]</f>
        <v>26.854400432607779</v>
      </c>
      <c r="O78">
        <f>products_final_scores_scenarios[[#This Row],[final_score__balanced]]*products_final_scores_scenarios[[#This Row],[reviews_count]]</f>
        <v>25.658498730576902</v>
      </c>
    </row>
    <row r="79" spans="1:15" x14ac:dyDescent="0.3">
      <c r="A79" s="2" t="s">
        <v>111</v>
      </c>
      <c r="B79" s="2" t="s">
        <v>108</v>
      </c>
      <c r="C79" s="2">
        <v>76</v>
      </c>
      <c r="D79" s="2" t="s">
        <v>14</v>
      </c>
      <c r="E79" s="2">
        <v>2</v>
      </c>
      <c r="F79" s="2">
        <v>5</v>
      </c>
      <c r="G79" s="2">
        <v>4.5622303882409296</v>
      </c>
      <c r="H79" s="2">
        <v>4.5622303882409296</v>
      </c>
      <c r="I79" s="2">
        <v>4.5622303882409296</v>
      </c>
      <c r="J79" s="2">
        <v>4.5622303882409296</v>
      </c>
      <c r="K79" s="2">
        <v>4.5622303882409296</v>
      </c>
      <c r="L79" s="2">
        <v>4.5622303882409296</v>
      </c>
      <c r="M79">
        <f>products_final_scores_scenarios[[#This Row],[rating_raw]]*products_final_scores_scenarios[[#This Row],[reviews_count]]</f>
        <v>10</v>
      </c>
      <c r="N79">
        <f>products_final_scores_scenarios[[#This Row],[rating_smoothed]]*products_final_scores_scenarios[[#This Row],[reviews_count]]</f>
        <v>9.1244607764818593</v>
      </c>
      <c r="O79">
        <f>products_final_scores_scenarios[[#This Row],[final_score__balanced]]*products_final_scores_scenarios[[#This Row],[reviews_count]]</f>
        <v>9.1244607764818593</v>
      </c>
    </row>
    <row r="80" spans="1:15" x14ac:dyDescent="0.3">
      <c r="A80" s="2" t="s">
        <v>112</v>
      </c>
      <c r="B80" s="2" t="s">
        <v>108</v>
      </c>
      <c r="C80" s="2">
        <v>76</v>
      </c>
      <c r="D80" s="2" t="s">
        <v>14</v>
      </c>
      <c r="E80" s="2">
        <v>5</v>
      </c>
      <c r="F80" s="2">
        <v>4.2</v>
      </c>
      <c r="G80" s="2">
        <v>4.4547627416520204</v>
      </c>
      <c r="H80" s="2">
        <v>4.4547627416520204</v>
      </c>
      <c r="I80" s="2">
        <v>4.4547627416520204</v>
      </c>
      <c r="J80" s="2">
        <v>4.4547627416520204</v>
      </c>
      <c r="K80" s="2">
        <v>4.4547627416520204</v>
      </c>
      <c r="L80" s="2">
        <v>4.4547627416520204</v>
      </c>
      <c r="M80">
        <f>products_final_scores_scenarios[[#This Row],[rating_raw]]*products_final_scores_scenarios[[#This Row],[reviews_count]]</f>
        <v>21</v>
      </c>
      <c r="N80">
        <f>products_final_scores_scenarios[[#This Row],[rating_smoothed]]*products_final_scores_scenarios[[#This Row],[reviews_count]]</f>
        <v>22.2738137082601</v>
      </c>
      <c r="O80">
        <f>products_final_scores_scenarios[[#This Row],[final_score__balanced]]*products_final_scores_scenarios[[#This Row],[reviews_count]]</f>
        <v>22.2738137082601</v>
      </c>
    </row>
    <row r="81" spans="1:15" x14ac:dyDescent="0.3">
      <c r="A81" s="2" t="s">
        <v>113</v>
      </c>
      <c r="B81" s="2" t="s">
        <v>114</v>
      </c>
      <c r="C81" s="2">
        <v>76</v>
      </c>
      <c r="D81" s="2" t="s">
        <v>14</v>
      </c>
      <c r="E81" s="2">
        <v>7</v>
      </c>
      <c r="F81" s="2">
        <v>4.4285714285714199</v>
      </c>
      <c r="G81" s="2">
        <v>4.4951506867148296</v>
      </c>
      <c r="H81" s="2">
        <v>4.4951506867148296</v>
      </c>
      <c r="I81" s="2">
        <v>4.4430872276845896</v>
      </c>
      <c r="J81" s="2">
        <v>4.3602228547976098</v>
      </c>
      <c r="K81" s="2">
        <v>4.15135260113576</v>
      </c>
      <c r="L81" s="2">
        <v>4.1096269242454202</v>
      </c>
      <c r="M81">
        <f>products_final_scores_scenarios[[#This Row],[rating_raw]]*products_final_scores_scenarios[[#This Row],[reviews_count]]</f>
        <v>30.99999999999994</v>
      </c>
      <c r="N81">
        <f>products_final_scores_scenarios[[#This Row],[rating_smoothed]]*products_final_scores_scenarios[[#This Row],[reviews_count]]</f>
        <v>31.466054807003808</v>
      </c>
      <c r="O81">
        <f>products_final_scores_scenarios[[#This Row],[final_score__balanced]]*products_final_scores_scenarios[[#This Row],[reviews_count]]</f>
        <v>30.52155998358327</v>
      </c>
    </row>
    <row r="82" spans="1:15" x14ac:dyDescent="0.3">
      <c r="A82" s="2" t="s">
        <v>115</v>
      </c>
      <c r="B82" s="2" t="s">
        <v>114</v>
      </c>
      <c r="C82" s="2">
        <v>76</v>
      </c>
      <c r="D82" s="2" t="s">
        <v>14</v>
      </c>
      <c r="E82" s="2">
        <v>14</v>
      </c>
      <c r="F82" s="2">
        <v>3.21428571428571</v>
      </c>
      <c r="G82" s="2">
        <v>3.9814431923911902</v>
      </c>
      <c r="H82" s="2">
        <v>3.9814431923911902</v>
      </c>
      <c r="I82" s="2">
        <v>3.8781378349648898</v>
      </c>
      <c r="J82" s="2">
        <v>3.7243549341134998</v>
      </c>
      <c r="K82" s="2">
        <v>3.3774029095531199</v>
      </c>
      <c r="L82" s="2">
        <v>3.0708329942577599</v>
      </c>
      <c r="M82">
        <f>products_final_scores_scenarios[[#This Row],[rating_raw]]*products_final_scores_scenarios[[#This Row],[reviews_count]]</f>
        <v>44.999999999999943</v>
      </c>
      <c r="N82">
        <f>products_final_scores_scenarios[[#This Row],[rating_smoothed]]*products_final_scores_scenarios[[#This Row],[reviews_count]]</f>
        <v>55.740204693476663</v>
      </c>
      <c r="O82">
        <f>products_final_scores_scenarios[[#This Row],[final_score__balanced]]*products_final_scores_scenarios[[#This Row],[reviews_count]]</f>
        <v>52.140969077588998</v>
      </c>
    </row>
    <row r="83" spans="1:15" x14ac:dyDescent="0.3">
      <c r="A83" s="2" t="s">
        <v>116</v>
      </c>
      <c r="B83" s="2" t="s">
        <v>108</v>
      </c>
      <c r="C83" s="2">
        <v>76</v>
      </c>
      <c r="D83" s="2" t="s">
        <v>14</v>
      </c>
      <c r="E83" s="2">
        <v>3</v>
      </c>
      <c r="F83" s="2">
        <v>3.3333333333333299</v>
      </c>
      <c r="G83" s="2">
        <v>4.3638725452739298</v>
      </c>
      <c r="H83" s="2">
        <v>4.3638725452739298</v>
      </c>
      <c r="I83" s="2">
        <v>4.2527920392480798</v>
      </c>
      <c r="J83" s="2">
        <v>4.0746800729545498</v>
      </c>
      <c r="K83" s="2">
        <v>3.7523114535611</v>
      </c>
      <c r="L83" s="2">
        <v>3.71611859107127</v>
      </c>
      <c r="M83">
        <f>products_final_scores_scenarios[[#This Row],[rating_raw]]*products_final_scores_scenarios[[#This Row],[reviews_count]]</f>
        <v>9.9999999999999893</v>
      </c>
      <c r="N83">
        <f>products_final_scores_scenarios[[#This Row],[rating_smoothed]]*products_final_scores_scenarios[[#This Row],[reviews_count]]</f>
        <v>13.091617635821789</v>
      </c>
      <c r="O83">
        <f>products_final_scores_scenarios[[#This Row],[final_score__balanced]]*products_final_scores_scenarios[[#This Row],[reviews_count]]</f>
        <v>12.224040218863649</v>
      </c>
    </row>
    <row r="84" spans="1:15" x14ac:dyDescent="0.3">
      <c r="A84" s="2" t="s">
        <v>117</v>
      </c>
      <c r="B84" s="2" t="s">
        <v>108</v>
      </c>
      <c r="C84" s="2">
        <v>76</v>
      </c>
      <c r="D84" s="2" t="s">
        <v>14</v>
      </c>
      <c r="E84" s="2">
        <v>4</v>
      </c>
      <c r="F84" s="2">
        <v>5</v>
      </c>
      <c r="G84" s="2">
        <v>4.5987111892208503</v>
      </c>
      <c r="H84" s="2">
        <v>4.5987111892208503</v>
      </c>
      <c r="I84" s="2">
        <v>4.5987111892208503</v>
      </c>
      <c r="J84" s="2">
        <v>4.5987111892208503</v>
      </c>
      <c r="K84" s="2">
        <v>4.5987111892208503</v>
      </c>
      <c r="L84" s="2">
        <v>4.5987111892208503</v>
      </c>
      <c r="M84">
        <f>products_final_scores_scenarios[[#This Row],[rating_raw]]*products_final_scores_scenarios[[#This Row],[reviews_count]]</f>
        <v>20</v>
      </c>
      <c r="N84">
        <f>products_final_scores_scenarios[[#This Row],[rating_smoothed]]*products_final_scores_scenarios[[#This Row],[reviews_count]]</f>
        <v>18.394844756883401</v>
      </c>
      <c r="O84">
        <f>products_final_scores_scenarios[[#This Row],[final_score__balanced]]*products_final_scores_scenarios[[#This Row],[reviews_count]]</f>
        <v>18.394844756883401</v>
      </c>
    </row>
    <row r="85" spans="1:15" x14ac:dyDescent="0.3">
      <c r="A85" s="2" t="s">
        <v>118</v>
      </c>
      <c r="B85" s="2" t="s">
        <v>108</v>
      </c>
      <c r="C85" s="2">
        <v>76</v>
      </c>
      <c r="D85" s="2" t="s">
        <v>14</v>
      </c>
      <c r="E85" s="2">
        <v>11</v>
      </c>
      <c r="F85" s="2">
        <v>4.2727272727272698</v>
      </c>
      <c r="G85" s="2">
        <v>4.4312602755258199</v>
      </c>
      <c r="H85" s="2">
        <v>4.4312602755258199</v>
      </c>
      <c r="I85" s="2">
        <v>4.4312602755258199</v>
      </c>
      <c r="J85" s="2">
        <v>4.4312602755258199</v>
      </c>
      <c r="K85" s="2">
        <v>4.4312602755258199</v>
      </c>
      <c r="L85" s="2">
        <v>4.4312602755258199</v>
      </c>
      <c r="M85">
        <f>products_final_scores_scenarios[[#This Row],[rating_raw]]*products_final_scores_scenarios[[#This Row],[reviews_count]]</f>
        <v>46.999999999999972</v>
      </c>
      <c r="N85">
        <f>products_final_scores_scenarios[[#This Row],[rating_smoothed]]*products_final_scores_scenarios[[#This Row],[reviews_count]]</f>
        <v>48.74386303078402</v>
      </c>
      <c r="O85">
        <f>products_final_scores_scenarios[[#This Row],[final_score__balanced]]*products_final_scores_scenarios[[#This Row],[reviews_count]]</f>
        <v>48.74386303078402</v>
      </c>
    </row>
    <row r="86" spans="1:15" x14ac:dyDescent="0.3">
      <c r="A86" s="2" t="s">
        <v>119</v>
      </c>
      <c r="B86" s="2" t="s">
        <v>108</v>
      </c>
      <c r="C86" s="2">
        <v>76</v>
      </c>
      <c r="D86" s="2" t="s">
        <v>14</v>
      </c>
      <c r="E86" s="2">
        <v>16</v>
      </c>
      <c r="F86" s="2">
        <v>4.6875</v>
      </c>
      <c r="G86" s="2">
        <v>4.5935852372583401</v>
      </c>
      <c r="H86" s="2">
        <v>4.5935852372583401</v>
      </c>
      <c r="I86" s="2">
        <v>4.5281806902993997</v>
      </c>
      <c r="J86" s="2">
        <v>4.4230671235259198</v>
      </c>
      <c r="K86" s="2">
        <v>4.1502594658766796</v>
      </c>
      <c r="L86" s="2">
        <v>3.8422842822476402</v>
      </c>
      <c r="M86">
        <f>products_final_scores_scenarios[[#This Row],[rating_raw]]*products_final_scores_scenarios[[#This Row],[reviews_count]]</f>
        <v>75</v>
      </c>
      <c r="N86">
        <f>products_final_scores_scenarios[[#This Row],[rating_smoothed]]*products_final_scores_scenarios[[#This Row],[reviews_count]]</f>
        <v>73.497363796133442</v>
      </c>
      <c r="O86">
        <f>products_final_scores_scenarios[[#This Row],[final_score__balanced]]*products_final_scores_scenarios[[#This Row],[reviews_count]]</f>
        <v>70.769073976414717</v>
      </c>
    </row>
    <row r="87" spans="1:15" x14ac:dyDescent="0.3">
      <c r="A87" s="2" t="s">
        <v>120</v>
      </c>
      <c r="B87" s="2" t="s">
        <v>108</v>
      </c>
      <c r="C87" s="2">
        <v>76</v>
      </c>
      <c r="D87" s="2" t="s">
        <v>14</v>
      </c>
      <c r="E87" s="2">
        <v>14</v>
      </c>
      <c r="F87" s="2">
        <v>4.1428571428571397</v>
      </c>
      <c r="G87" s="2">
        <v>4.3637961335676598</v>
      </c>
      <c r="H87" s="2">
        <v>4.3637961335676598</v>
      </c>
      <c r="I87" s="2">
        <v>4.2844613388549</v>
      </c>
      <c r="J87" s="2">
        <v>4.1469478322721303</v>
      </c>
      <c r="K87" s="2">
        <v>3.78598422503141</v>
      </c>
      <c r="L87" s="2">
        <v>3.4214047141979802</v>
      </c>
      <c r="M87">
        <f>products_final_scores_scenarios[[#This Row],[rating_raw]]*products_final_scores_scenarios[[#This Row],[reviews_count]]</f>
        <v>57.999999999999957</v>
      </c>
      <c r="N87">
        <f>products_final_scores_scenarios[[#This Row],[rating_smoothed]]*products_final_scores_scenarios[[#This Row],[reviews_count]]</f>
        <v>61.093145869947236</v>
      </c>
      <c r="O87">
        <f>products_final_scores_scenarios[[#This Row],[final_score__balanced]]*products_final_scores_scenarios[[#This Row],[reviews_count]]</f>
        <v>58.057269651809825</v>
      </c>
    </row>
    <row r="88" spans="1:15" x14ac:dyDescent="0.3">
      <c r="A88" s="2" t="s">
        <v>121</v>
      </c>
      <c r="B88" s="2" t="s">
        <v>108</v>
      </c>
      <c r="C88" s="2">
        <v>76</v>
      </c>
      <c r="D88" s="2" t="s">
        <v>14</v>
      </c>
      <c r="E88" s="2">
        <v>4</v>
      </c>
      <c r="F88" s="2">
        <v>5</v>
      </c>
      <c r="G88" s="2">
        <v>4.5987111892208503</v>
      </c>
      <c r="H88" s="2">
        <v>4.5987111892208503</v>
      </c>
      <c r="I88" s="2">
        <v>4.3587111892208501</v>
      </c>
      <c r="J88" s="2">
        <v>3.9587111892208502</v>
      </c>
      <c r="K88" s="2">
        <v>3.29871118922085</v>
      </c>
      <c r="L88" s="2">
        <v>3.23871118922085</v>
      </c>
      <c r="M88">
        <f>products_final_scores_scenarios[[#This Row],[rating_raw]]*products_final_scores_scenarios[[#This Row],[reviews_count]]</f>
        <v>20</v>
      </c>
      <c r="N88">
        <f>products_final_scores_scenarios[[#This Row],[rating_smoothed]]*products_final_scores_scenarios[[#This Row],[reviews_count]]</f>
        <v>18.394844756883401</v>
      </c>
      <c r="O88">
        <f>products_final_scores_scenarios[[#This Row],[final_score__balanced]]*products_final_scores_scenarios[[#This Row],[reviews_count]]</f>
        <v>15.834844756883401</v>
      </c>
    </row>
    <row r="89" spans="1:15" x14ac:dyDescent="0.3">
      <c r="A89" s="2" t="s">
        <v>122</v>
      </c>
      <c r="B89" s="2" t="s">
        <v>108</v>
      </c>
      <c r="C89" s="2">
        <v>76</v>
      </c>
      <c r="D89" s="2" t="s">
        <v>14</v>
      </c>
      <c r="E89" s="2">
        <v>4</v>
      </c>
      <c r="F89" s="2">
        <v>1</v>
      </c>
      <c r="G89" s="2">
        <v>3.9320445225541798</v>
      </c>
      <c r="H89" s="2">
        <v>3.9320445225541798</v>
      </c>
      <c r="I89" s="2">
        <v>3.9320445225541798</v>
      </c>
      <c r="J89" s="2">
        <v>3.9320445225541798</v>
      </c>
      <c r="K89" s="2">
        <v>3.9320445225541798</v>
      </c>
      <c r="L89" s="2">
        <v>3.9320445225541798</v>
      </c>
      <c r="M89">
        <f>products_final_scores_scenarios[[#This Row],[rating_raw]]*products_final_scores_scenarios[[#This Row],[reviews_count]]</f>
        <v>4</v>
      </c>
      <c r="N89">
        <f>products_final_scores_scenarios[[#This Row],[rating_smoothed]]*products_final_scores_scenarios[[#This Row],[reviews_count]]</f>
        <v>15.728178090216719</v>
      </c>
      <c r="O89">
        <f>products_final_scores_scenarios[[#This Row],[final_score__balanced]]*products_final_scores_scenarios[[#This Row],[reviews_count]]</f>
        <v>15.728178090216719</v>
      </c>
    </row>
    <row r="90" spans="1:15" x14ac:dyDescent="0.3">
      <c r="A90" s="2" t="s">
        <v>123</v>
      </c>
      <c r="B90" s="2" t="s">
        <v>108</v>
      </c>
      <c r="C90" s="2">
        <v>76</v>
      </c>
      <c r="D90" s="2" t="s">
        <v>14</v>
      </c>
      <c r="E90" s="2">
        <v>99</v>
      </c>
      <c r="F90" s="2">
        <v>4.6767676767676702</v>
      </c>
      <c r="G90" s="2">
        <v>4.6501602398428599</v>
      </c>
      <c r="H90" s="2">
        <v>4.6501602398428599</v>
      </c>
      <c r="I90" s="2">
        <v>4.5674967824581403</v>
      </c>
      <c r="J90" s="2">
        <v>4.4395591348611996</v>
      </c>
      <c r="K90" s="2">
        <v>4.1288246414592296</v>
      </c>
      <c r="L90" s="2">
        <v>3.7872489843172699</v>
      </c>
      <c r="M90">
        <f>products_final_scores_scenarios[[#This Row],[rating_raw]]*products_final_scores_scenarios[[#This Row],[reviews_count]]</f>
        <v>462.99999999999937</v>
      </c>
      <c r="N90">
        <f>products_final_scores_scenarios[[#This Row],[rating_smoothed]]*products_final_scores_scenarios[[#This Row],[reviews_count]]</f>
        <v>460.36586374444312</v>
      </c>
      <c r="O90">
        <f>products_final_scores_scenarios[[#This Row],[final_score__balanced]]*products_final_scores_scenarios[[#This Row],[reviews_count]]</f>
        <v>439.51635435125877</v>
      </c>
    </row>
    <row r="91" spans="1:15" x14ac:dyDescent="0.3">
      <c r="A91" s="2" t="s">
        <v>124</v>
      </c>
      <c r="B91" s="2" t="s">
        <v>108</v>
      </c>
      <c r="C91" s="2">
        <v>76</v>
      </c>
      <c r="D91" s="2" t="s">
        <v>14</v>
      </c>
      <c r="E91" s="2">
        <v>20</v>
      </c>
      <c r="F91" s="2">
        <v>4.0999999999999996</v>
      </c>
      <c r="G91" s="2">
        <v>4.3092267135325102</v>
      </c>
      <c r="H91" s="2">
        <v>4.3092267135325102</v>
      </c>
      <c r="I91" s="2">
        <v>4.2613875478843299</v>
      </c>
      <c r="J91" s="2">
        <v>4.1887748309054604</v>
      </c>
      <c r="K91" s="2">
        <v>3.9990087392410798</v>
      </c>
      <c r="L91" s="2">
        <v>3.79851887141532</v>
      </c>
      <c r="M91">
        <f>products_final_scores_scenarios[[#This Row],[rating_raw]]*products_final_scores_scenarios[[#This Row],[reviews_count]]</f>
        <v>82</v>
      </c>
      <c r="N91">
        <f>products_final_scores_scenarios[[#This Row],[rating_smoothed]]*products_final_scores_scenarios[[#This Row],[reviews_count]]</f>
        <v>86.184534270650204</v>
      </c>
      <c r="O91">
        <f>products_final_scores_scenarios[[#This Row],[final_score__balanced]]*products_final_scores_scenarios[[#This Row],[reviews_count]]</f>
        <v>83.775496618109202</v>
      </c>
    </row>
    <row r="92" spans="1:15" x14ac:dyDescent="0.3">
      <c r="A92" s="2" t="s">
        <v>125</v>
      </c>
      <c r="B92" s="2" t="s">
        <v>114</v>
      </c>
      <c r="C92" s="2">
        <v>76</v>
      </c>
      <c r="D92" s="2" t="s">
        <v>14</v>
      </c>
      <c r="E92" s="2">
        <v>123</v>
      </c>
      <c r="F92" s="2">
        <v>4.7967479674796696</v>
      </c>
      <c r="G92" s="2">
        <v>4.7578256541349599</v>
      </c>
      <c r="H92" s="2">
        <v>4.7578256541349599</v>
      </c>
      <c r="I92" s="2">
        <v>4.7307893732316497</v>
      </c>
      <c r="J92" s="2">
        <v>4.6829446780249402</v>
      </c>
      <c r="K92" s="2">
        <v>4.53002243576206</v>
      </c>
      <c r="L92" s="2">
        <v>4.3457275202458998</v>
      </c>
      <c r="M92">
        <f>products_final_scores_scenarios[[#This Row],[rating_raw]]*products_final_scores_scenarios[[#This Row],[reviews_count]]</f>
        <v>589.99999999999932</v>
      </c>
      <c r="N92">
        <f>products_final_scores_scenarios[[#This Row],[rating_smoothed]]*products_final_scores_scenarios[[#This Row],[reviews_count]]</f>
        <v>585.21255545860004</v>
      </c>
      <c r="O92">
        <f>products_final_scores_scenarios[[#This Row],[final_score__balanced]]*products_final_scores_scenarios[[#This Row],[reviews_count]]</f>
        <v>576.00219539706768</v>
      </c>
    </row>
    <row r="93" spans="1:15" x14ac:dyDescent="0.3">
      <c r="A93" s="2" t="s">
        <v>126</v>
      </c>
      <c r="B93" s="2" t="s">
        <v>114</v>
      </c>
      <c r="C93" s="2">
        <v>76</v>
      </c>
      <c r="D93" s="2" t="s">
        <v>14</v>
      </c>
      <c r="E93" s="2">
        <v>12</v>
      </c>
      <c r="F93" s="2">
        <v>4.8333333333333304</v>
      </c>
      <c r="G93" s="2">
        <v>4.6365333919156404</v>
      </c>
      <c r="H93" s="2">
        <v>4.6365333919156404</v>
      </c>
      <c r="I93" s="2">
        <v>4.6365333919156404</v>
      </c>
      <c r="J93" s="2">
        <v>4.6365333919156404</v>
      </c>
      <c r="K93" s="2">
        <v>4.6365333919156404</v>
      </c>
      <c r="L93" s="2">
        <v>4.6365333919156404</v>
      </c>
      <c r="M93">
        <f>products_final_scores_scenarios[[#This Row],[rating_raw]]*products_final_scores_scenarios[[#This Row],[reviews_count]]</f>
        <v>57.999999999999964</v>
      </c>
      <c r="N93">
        <f>products_final_scores_scenarios[[#This Row],[rating_smoothed]]*products_final_scores_scenarios[[#This Row],[reviews_count]]</f>
        <v>55.638400702987681</v>
      </c>
      <c r="O93">
        <f>products_final_scores_scenarios[[#This Row],[final_score__balanced]]*products_final_scores_scenarios[[#This Row],[reviews_count]]</f>
        <v>55.638400702987681</v>
      </c>
    </row>
    <row r="94" spans="1:15" x14ac:dyDescent="0.3">
      <c r="A94" s="2" t="s">
        <v>127</v>
      </c>
      <c r="B94" s="2" t="s">
        <v>114</v>
      </c>
      <c r="C94" s="2">
        <v>76</v>
      </c>
      <c r="D94" s="2" t="s">
        <v>14</v>
      </c>
      <c r="E94" s="2">
        <v>3</v>
      </c>
      <c r="F94" s="2">
        <v>4.6666666666666599</v>
      </c>
      <c r="G94" s="2">
        <v>4.5377855887521896</v>
      </c>
      <c r="H94" s="2">
        <v>4.5377855887521896</v>
      </c>
      <c r="I94" s="2">
        <v>4.5377855887521896</v>
      </c>
      <c r="J94" s="2">
        <v>4.5377855887521896</v>
      </c>
      <c r="K94" s="2">
        <v>4.5377855887521896</v>
      </c>
      <c r="L94" s="2">
        <v>4.5377855887521896</v>
      </c>
      <c r="M94">
        <f>products_final_scores_scenarios[[#This Row],[rating_raw]]*products_final_scores_scenarios[[#This Row],[reviews_count]]</f>
        <v>13.999999999999979</v>
      </c>
      <c r="N94">
        <f>products_final_scores_scenarios[[#This Row],[rating_smoothed]]*products_final_scores_scenarios[[#This Row],[reviews_count]]</f>
        <v>13.613356766256569</v>
      </c>
      <c r="O94">
        <f>products_final_scores_scenarios[[#This Row],[final_score__balanced]]*products_final_scores_scenarios[[#This Row],[reviews_count]]</f>
        <v>13.613356766256569</v>
      </c>
    </row>
    <row r="95" spans="1:15" x14ac:dyDescent="0.3">
      <c r="A95" s="2" t="s">
        <v>128</v>
      </c>
      <c r="B95" s="2" t="s">
        <v>114</v>
      </c>
      <c r="C95" s="2">
        <v>76</v>
      </c>
      <c r="D95" s="2" t="s">
        <v>14</v>
      </c>
      <c r="E95" s="2">
        <v>13</v>
      </c>
      <c r="F95" s="2">
        <v>3.9230769230769198</v>
      </c>
      <c r="G95" s="2">
        <v>4.2839111679181903</v>
      </c>
      <c r="H95" s="2">
        <v>4.2839111679181903</v>
      </c>
      <c r="I95" s="2">
        <v>4.2097053476108703</v>
      </c>
      <c r="J95" s="2">
        <v>4.1049497954749903</v>
      </c>
      <c r="K95" s="2">
        <v>3.8610524016899599</v>
      </c>
      <c r="L95" s="2">
        <v>3.7060222897110102</v>
      </c>
      <c r="M95">
        <f>products_final_scores_scenarios[[#This Row],[rating_raw]]*products_final_scores_scenarios[[#This Row],[reviews_count]]</f>
        <v>50.999999999999957</v>
      </c>
      <c r="N95">
        <f>products_final_scores_scenarios[[#This Row],[rating_smoothed]]*products_final_scores_scenarios[[#This Row],[reviews_count]]</f>
        <v>55.690845182936471</v>
      </c>
      <c r="O95">
        <f>products_final_scores_scenarios[[#This Row],[final_score__balanced]]*products_final_scores_scenarios[[#This Row],[reviews_count]]</f>
        <v>53.364347341174877</v>
      </c>
    </row>
    <row r="96" spans="1:15" x14ac:dyDescent="0.3">
      <c r="A96" s="2" t="s">
        <v>129</v>
      </c>
      <c r="B96" s="2" t="s">
        <v>114</v>
      </c>
      <c r="C96" s="2">
        <v>76</v>
      </c>
      <c r="D96" s="2" t="s">
        <v>14</v>
      </c>
      <c r="E96" s="2">
        <v>16</v>
      </c>
      <c r="F96" s="2">
        <v>5</v>
      </c>
      <c r="G96" s="2">
        <v>4.7324741261472303</v>
      </c>
      <c r="H96" s="2">
        <v>4.7324741261472303</v>
      </c>
      <c r="I96" s="2">
        <v>4.7324741261472303</v>
      </c>
      <c r="J96" s="2">
        <v>4.7324741261472303</v>
      </c>
      <c r="K96" s="2">
        <v>4.7324741261472303</v>
      </c>
      <c r="L96" s="2">
        <v>4.7324741261472303</v>
      </c>
      <c r="M96">
        <f>products_final_scores_scenarios[[#This Row],[rating_raw]]*products_final_scores_scenarios[[#This Row],[reviews_count]]</f>
        <v>80</v>
      </c>
      <c r="N96">
        <f>products_final_scores_scenarios[[#This Row],[rating_smoothed]]*products_final_scores_scenarios[[#This Row],[reviews_count]]</f>
        <v>75.719586018355685</v>
      </c>
      <c r="O96">
        <f>products_final_scores_scenarios[[#This Row],[final_score__balanced]]*products_final_scores_scenarios[[#This Row],[reviews_count]]</f>
        <v>75.719586018355685</v>
      </c>
    </row>
    <row r="97" spans="1:15" x14ac:dyDescent="0.3">
      <c r="A97" s="2" t="s">
        <v>130</v>
      </c>
      <c r="B97" s="2" t="s">
        <v>114</v>
      </c>
      <c r="C97" s="2">
        <v>76</v>
      </c>
      <c r="D97" s="2" t="s">
        <v>14</v>
      </c>
      <c r="E97" s="2">
        <v>8</v>
      </c>
      <c r="F97" s="2">
        <v>5</v>
      </c>
      <c r="G97" s="2">
        <v>4.6560381621892999</v>
      </c>
      <c r="H97" s="2">
        <v>4.6560381621892999</v>
      </c>
      <c r="I97" s="2">
        <v>4.6560381621892999</v>
      </c>
      <c r="J97" s="2">
        <v>4.6560381621892999</v>
      </c>
      <c r="K97" s="2">
        <v>4.6560381621892999</v>
      </c>
      <c r="L97" s="2">
        <v>4.6560381621892999</v>
      </c>
      <c r="M97">
        <f>products_final_scores_scenarios[[#This Row],[rating_raw]]*products_final_scores_scenarios[[#This Row],[reviews_count]]</f>
        <v>40</v>
      </c>
      <c r="N97">
        <f>products_final_scores_scenarios[[#This Row],[rating_smoothed]]*products_final_scores_scenarios[[#This Row],[reviews_count]]</f>
        <v>37.248305297514399</v>
      </c>
      <c r="O97">
        <f>products_final_scores_scenarios[[#This Row],[final_score__balanced]]*products_final_scores_scenarios[[#This Row],[reviews_count]]</f>
        <v>37.248305297514399</v>
      </c>
    </row>
    <row r="98" spans="1:15" x14ac:dyDescent="0.3">
      <c r="A98" s="2" t="s">
        <v>131</v>
      </c>
      <c r="B98" s="2" t="s">
        <v>114</v>
      </c>
      <c r="C98" s="2">
        <v>76</v>
      </c>
      <c r="D98" s="2" t="s">
        <v>14</v>
      </c>
      <c r="E98" s="2">
        <v>24</v>
      </c>
      <c r="F98" s="2">
        <v>3</v>
      </c>
      <c r="G98" s="2">
        <v>3.69020610321137</v>
      </c>
      <c r="H98" s="2">
        <v>3.69020610321137</v>
      </c>
      <c r="I98" s="2">
        <v>3.6441310350212199</v>
      </c>
      <c r="J98" s="2">
        <v>3.5589342557151999</v>
      </c>
      <c r="K98" s="2">
        <v>3.3045023213802698</v>
      </c>
      <c r="L98" s="2">
        <v>2.9847562430452999</v>
      </c>
      <c r="M98">
        <f>products_final_scores_scenarios[[#This Row],[rating_raw]]*products_final_scores_scenarios[[#This Row],[reviews_count]]</f>
        <v>72</v>
      </c>
      <c r="N98">
        <f>products_final_scores_scenarios[[#This Row],[rating_smoothed]]*products_final_scores_scenarios[[#This Row],[reviews_count]]</f>
        <v>88.56494647707288</v>
      </c>
      <c r="O98">
        <f>products_final_scores_scenarios[[#This Row],[final_score__balanced]]*products_final_scores_scenarios[[#This Row],[reviews_count]]</f>
        <v>85.414422137164792</v>
      </c>
    </row>
    <row r="99" spans="1:15" x14ac:dyDescent="0.3">
      <c r="A99" s="2" t="s">
        <v>132</v>
      </c>
      <c r="B99" s="2" t="s">
        <v>114</v>
      </c>
      <c r="C99" s="2">
        <v>76</v>
      </c>
      <c r="D99" s="2" t="s">
        <v>14</v>
      </c>
      <c r="E99" s="2">
        <v>17</v>
      </c>
      <c r="F99" s="2">
        <v>4</v>
      </c>
      <c r="G99" s="2">
        <v>4.2802450957108196</v>
      </c>
      <c r="H99" s="2">
        <v>4.2802450957108196</v>
      </c>
      <c r="I99" s="2">
        <v>4.1622538852081501</v>
      </c>
      <c r="J99" s="2">
        <v>3.9788166465351398</v>
      </c>
      <c r="K99" s="2">
        <v>3.5637323310472602</v>
      </c>
      <c r="L99" s="2">
        <v>3.10323397421097</v>
      </c>
      <c r="M99">
        <f>products_final_scores_scenarios[[#This Row],[rating_raw]]*products_final_scores_scenarios[[#This Row],[reviews_count]]</f>
        <v>68</v>
      </c>
      <c r="N99">
        <f>products_final_scores_scenarios[[#This Row],[rating_smoothed]]*products_final_scores_scenarios[[#This Row],[reviews_count]]</f>
        <v>72.764166627083938</v>
      </c>
      <c r="O99">
        <f>products_final_scores_scenarios[[#This Row],[final_score__balanced]]*products_final_scores_scenarios[[#This Row],[reviews_count]]</f>
        <v>67.63988299109738</v>
      </c>
    </row>
    <row r="100" spans="1:15" x14ac:dyDescent="0.3">
      <c r="A100" s="2" t="s">
        <v>133</v>
      </c>
      <c r="B100" s="2" t="s">
        <v>114</v>
      </c>
      <c r="C100" s="2">
        <v>76</v>
      </c>
      <c r="D100" s="2" t="s">
        <v>14</v>
      </c>
      <c r="E100" s="2">
        <v>11</v>
      </c>
      <c r="F100" s="2">
        <v>3.1818181818181799</v>
      </c>
      <c r="G100" s="2">
        <v>4.0441635013322701</v>
      </c>
      <c r="H100" s="2">
        <v>4.0441635013322701</v>
      </c>
      <c r="I100" s="2">
        <v>3.91993658528322</v>
      </c>
      <c r="J100" s="2">
        <v>3.7612375123628898</v>
      </c>
      <c r="K100" s="2">
        <v>3.4479792576601298</v>
      </c>
      <c r="L100" s="2">
        <v>3.3931130680579602</v>
      </c>
      <c r="M100">
        <f>products_final_scores_scenarios[[#This Row],[rating_raw]]*products_final_scores_scenarios[[#This Row],[reviews_count]]</f>
        <v>34.999999999999979</v>
      </c>
      <c r="N100">
        <f>products_final_scores_scenarios[[#This Row],[rating_smoothed]]*products_final_scores_scenarios[[#This Row],[reviews_count]]</f>
        <v>44.485798514654974</v>
      </c>
      <c r="O100">
        <f>products_final_scores_scenarios[[#This Row],[final_score__balanced]]*products_final_scores_scenarios[[#This Row],[reviews_count]]</f>
        <v>41.37361263599179</v>
      </c>
    </row>
    <row r="101" spans="1:15" x14ac:dyDescent="0.3">
      <c r="A101" s="2" t="s">
        <v>134</v>
      </c>
      <c r="B101" s="2" t="s">
        <v>114</v>
      </c>
      <c r="C101" s="2">
        <v>76</v>
      </c>
      <c r="D101" s="2" t="s">
        <v>14</v>
      </c>
      <c r="E101" s="2">
        <v>2</v>
      </c>
      <c r="F101" s="2">
        <v>4</v>
      </c>
      <c r="G101" s="2">
        <v>4.4713212973318397</v>
      </c>
      <c r="H101" s="2">
        <v>4.4713212973318397</v>
      </c>
      <c r="I101" s="2">
        <v>4.3513212973318396</v>
      </c>
      <c r="J101" s="2">
        <v>4.1513212973318403</v>
      </c>
      <c r="K101" s="2">
        <v>3.8213212973318398</v>
      </c>
      <c r="L101" s="2">
        <v>3.79132129733184</v>
      </c>
      <c r="M101">
        <f>products_final_scores_scenarios[[#This Row],[rating_raw]]*products_final_scores_scenarios[[#This Row],[reviews_count]]</f>
        <v>8</v>
      </c>
      <c r="N101">
        <f>products_final_scores_scenarios[[#This Row],[rating_smoothed]]*products_final_scores_scenarios[[#This Row],[reviews_count]]</f>
        <v>8.9426425946636794</v>
      </c>
      <c r="O101">
        <f>products_final_scores_scenarios[[#This Row],[final_score__balanced]]*products_final_scores_scenarios[[#This Row],[reviews_count]]</f>
        <v>8.3026425946636806</v>
      </c>
    </row>
    <row r="102" spans="1:15" x14ac:dyDescent="0.3">
      <c r="A102" s="2" t="s">
        <v>135</v>
      </c>
      <c r="B102" s="2" t="s">
        <v>136</v>
      </c>
      <c r="C102" s="2">
        <v>314</v>
      </c>
      <c r="D102" s="2" t="s">
        <v>41</v>
      </c>
      <c r="E102" s="2">
        <v>16</v>
      </c>
      <c r="F102" s="2">
        <v>4.75</v>
      </c>
      <c r="G102" s="2">
        <v>4.5977432942665697</v>
      </c>
      <c r="H102" s="2">
        <v>4.5977432942665697</v>
      </c>
      <c r="I102" s="2">
        <v>4.5977432942665697</v>
      </c>
      <c r="J102" s="2">
        <v>4.5977432942665697</v>
      </c>
      <c r="K102" s="2">
        <v>4.5977432942665697</v>
      </c>
      <c r="L102" s="2">
        <v>4.5977432942665697</v>
      </c>
      <c r="M102">
        <f>products_final_scores_scenarios[[#This Row],[rating_raw]]*products_final_scores_scenarios[[#This Row],[reviews_count]]</f>
        <v>76</v>
      </c>
      <c r="N102">
        <f>products_final_scores_scenarios[[#This Row],[rating_smoothed]]*products_final_scores_scenarios[[#This Row],[reviews_count]]</f>
        <v>73.563892708265115</v>
      </c>
      <c r="O102">
        <f>products_final_scores_scenarios[[#This Row],[final_score__balanced]]*products_final_scores_scenarios[[#This Row],[reviews_count]]</f>
        <v>73.563892708265115</v>
      </c>
    </row>
    <row r="103" spans="1:15" x14ac:dyDescent="0.3">
      <c r="A103" s="2" t="s">
        <v>137</v>
      </c>
      <c r="B103" s="2" t="s">
        <v>136</v>
      </c>
      <c r="C103" s="2">
        <v>314</v>
      </c>
      <c r="D103" s="2" t="s">
        <v>41</v>
      </c>
      <c r="E103" s="2">
        <v>142</v>
      </c>
      <c r="F103" s="2">
        <v>4.7323943661971803</v>
      </c>
      <c r="G103" s="2">
        <v>4.7007330777382501</v>
      </c>
      <c r="H103" s="2">
        <v>4.7007330777382501</v>
      </c>
      <c r="I103" s="2">
        <v>4.6208389703788404</v>
      </c>
      <c r="J103" s="2">
        <v>4.4943454172687103</v>
      </c>
      <c r="K103" s="2">
        <v>4.1810908610139803</v>
      </c>
      <c r="L103" s="2">
        <v>3.83042811961091</v>
      </c>
      <c r="M103">
        <f>products_final_scores_scenarios[[#This Row],[rating_raw]]*products_final_scores_scenarios[[#This Row],[reviews_count]]</f>
        <v>671.99999999999966</v>
      </c>
      <c r="N103">
        <f>products_final_scores_scenarios[[#This Row],[rating_smoothed]]*products_final_scores_scenarios[[#This Row],[reviews_count]]</f>
        <v>667.50409703883156</v>
      </c>
      <c r="O103">
        <f>products_final_scores_scenarios[[#This Row],[final_score__balanced]]*products_final_scores_scenarios[[#This Row],[reviews_count]]</f>
        <v>638.19704925215683</v>
      </c>
    </row>
    <row r="104" spans="1:15" x14ac:dyDescent="0.3">
      <c r="A104" s="2" t="s">
        <v>138</v>
      </c>
      <c r="B104" s="2" t="s">
        <v>136</v>
      </c>
      <c r="C104" s="2">
        <v>314</v>
      </c>
      <c r="D104" s="2" t="s">
        <v>41</v>
      </c>
      <c r="E104" s="2">
        <v>71</v>
      </c>
      <c r="F104" s="2">
        <v>4.7323943661971803</v>
      </c>
      <c r="G104" s="2">
        <v>4.6760303142153399</v>
      </c>
      <c r="H104" s="2">
        <v>4.6760303142153399</v>
      </c>
      <c r="I104" s="2">
        <v>4.5961362068559302</v>
      </c>
      <c r="J104" s="2">
        <v>4.4696426537458098</v>
      </c>
      <c r="K104" s="2">
        <v>4.1563880974910701</v>
      </c>
      <c r="L104" s="2">
        <v>3.80572535608801</v>
      </c>
      <c r="M104">
        <f>products_final_scores_scenarios[[#This Row],[rating_raw]]*products_final_scores_scenarios[[#This Row],[reviews_count]]</f>
        <v>335.99999999999983</v>
      </c>
      <c r="N104">
        <f>products_final_scores_scenarios[[#This Row],[rating_smoothed]]*products_final_scores_scenarios[[#This Row],[reviews_count]]</f>
        <v>331.99815230928914</v>
      </c>
      <c r="O104">
        <f>products_final_scores_scenarios[[#This Row],[final_score__balanced]]*products_final_scores_scenarios[[#This Row],[reviews_count]]</f>
        <v>317.34462841595251</v>
      </c>
    </row>
    <row r="105" spans="1:15" x14ac:dyDescent="0.3">
      <c r="A105" s="2" t="s">
        <v>139</v>
      </c>
      <c r="B105" s="2" t="s">
        <v>136</v>
      </c>
      <c r="C105" s="2">
        <v>314</v>
      </c>
      <c r="D105" s="2" t="s">
        <v>41</v>
      </c>
      <c r="E105" s="2">
        <v>38</v>
      </c>
      <c r="F105" s="2">
        <v>4.6842105263157796</v>
      </c>
      <c r="G105" s="2">
        <v>4.6123923895447598</v>
      </c>
      <c r="H105" s="2">
        <v>4.6123923895447598</v>
      </c>
      <c r="I105" s="2">
        <v>4.5583414473595303</v>
      </c>
      <c r="J105" s="2">
        <v>4.4702266580482197</v>
      </c>
      <c r="K105" s="2">
        <v>4.2327310318656304</v>
      </c>
      <c r="L105" s="2">
        <v>3.96229341461436</v>
      </c>
      <c r="M105">
        <f>products_final_scores_scenarios[[#This Row],[rating_raw]]*products_final_scores_scenarios[[#This Row],[reviews_count]]</f>
        <v>177.99999999999963</v>
      </c>
      <c r="N105">
        <f>products_final_scores_scenarios[[#This Row],[rating_smoothed]]*products_final_scores_scenarios[[#This Row],[reviews_count]]</f>
        <v>175.27091080270088</v>
      </c>
      <c r="O105">
        <f>products_final_scores_scenarios[[#This Row],[final_score__balanced]]*products_final_scores_scenarios[[#This Row],[reviews_count]]</f>
        <v>169.86861300583234</v>
      </c>
    </row>
    <row r="106" spans="1:15" x14ac:dyDescent="0.3">
      <c r="A106" s="2" t="s">
        <v>140</v>
      </c>
      <c r="B106" s="2" t="s">
        <v>136</v>
      </c>
      <c r="C106" s="2">
        <v>314</v>
      </c>
      <c r="D106" s="2" t="s">
        <v>41</v>
      </c>
      <c r="E106" s="2">
        <v>9</v>
      </c>
      <c r="F106" s="2">
        <v>4.7777777777777697</v>
      </c>
      <c r="G106" s="2">
        <v>4.5696123652964298</v>
      </c>
      <c r="H106" s="2">
        <v>4.5696123652964298</v>
      </c>
      <c r="I106" s="2">
        <v>4.4662960928307003</v>
      </c>
      <c r="J106" s="2">
        <v>4.3054246244301702</v>
      </c>
      <c r="K106" s="2">
        <v>3.93691344972749</v>
      </c>
      <c r="L106" s="2">
        <v>3.8750763713309699</v>
      </c>
      <c r="M106">
        <f>products_final_scores_scenarios[[#This Row],[rating_raw]]*products_final_scores_scenarios[[#This Row],[reviews_count]]</f>
        <v>42.999999999999929</v>
      </c>
      <c r="N106">
        <f>products_final_scores_scenarios[[#This Row],[rating_smoothed]]*products_final_scores_scenarios[[#This Row],[reviews_count]]</f>
        <v>41.126511287667867</v>
      </c>
      <c r="O106">
        <f>products_final_scores_scenarios[[#This Row],[final_score__balanced]]*products_final_scores_scenarios[[#This Row],[reviews_count]]</f>
        <v>38.748821619871535</v>
      </c>
    </row>
    <row r="107" spans="1:15" x14ac:dyDescent="0.3">
      <c r="A107" s="2" t="s">
        <v>141</v>
      </c>
      <c r="B107" s="2" t="s">
        <v>136</v>
      </c>
      <c r="C107" s="2">
        <v>314</v>
      </c>
      <c r="D107" s="2" t="s">
        <v>41</v>
      </c>
      <c r="E107" s="2">
        <v>45</v>
      </c>
      <c r="F107" s="2">
        <v>4.7777777777777697</v>
      </c>
      <c r="G107" s="2">
        <v>4.6849039783630202</v>
      </c>
      <c r="H107" s="2">
        <v>4.6849039783630202</v>
      </c>
      <c r="I107" s="2">
        <v>4.5701081200677702</v>
      </c>
      <c r="J107" s="2">
        <v>4.3913620440671801</v>
      </c>
      <c r="K107" s="2">
        <v>3.9819051832864298</v>
      </c>
      <c r="L107" s="2">
        <v>3.5273439884206002</v>
      </c>
      <c r="M107">
        <f>products_final_scores_scenarios[[#This Row],[rating_raw]]*products_final_scores_scenarios[[#This Row],[reviews_count]]</f>
        <v>214.99999999999963</v>
      </c>
      <c r="N107">
        <f>products_final_scores_scenarios[[#This Row],[rating_smoothed]]*products_final_scores_scenarios[[#This Row],[reviews_count]]</f>
        <v>210.82067902633591</v>
      </c>
      <c r="O107">
        <f>products_final_scores_scenarios[[#This Row],[final_score__balanced]]*products_final_scores_scenarios[[#This Row],[reviews_count]]</f>
        <v>197.61129198302311</v>
      </c>
    </row>
    <row r="108" spans="1:15" x14ac:dyDescent="0.3">
      <c r="A108" s="2" t="s">
        <v>142</v>
      </c>
      <c r="B108" s="2" t="s">
        <v>136</v>
      </c>
      <c r="C108" s="2">
        <v>314</v>
      </c>
      <c r="D108" s="2" t="s">
        <v>41</v>
      </c>
      <c r="E108" s="2">
        <v>108</v>
      </c>
      <c r="F108" s="2">
        <v>4.7777777777777697</v>
      </c>
      <c r="G108" s="2">
        <v>4.7306153015124703</v>
      </c>
      <c r="H108" s="2">
        <v>4.7306153015124703</v>
      </c>
      <c r="I108" s="2">
        <v>4.6721736031107497</v>
      </c>
      <c r="J108" s="2">
        <v>4.5773466028541598</v>
      </c>
      <c r="K108" s="2">
        <v>4.3247848452892397</v>
      </c>
      <c r="L108" s="2">
        <v>4.0380227089198799</v>
      </c>
      <c r="M108">
        <f>products_final_scores_scenarios[[#This Row],[rating_raw]]*products_final_scores_scenarios[[#This Row],[reviews_count]]</f>
        <v>515.99999999999909</v>
      </c>
      <c r="N108">
        <f>products_final_scores_scenarios[[#This Row],[rating_smoothed]]*products_final_scores_scenarios[[#This Row],[reviews_count]]</f>
        <v>510.90645256334682</v>
      </c>
      <c r="O108">
        <f>products_final_scores_scenarios[[#This Row],[final_score__balanced]]*products_final_scores_scenarios[[#This Row],[reviews_count]]</f>
        <v>494.35343310824925</v>
      </c>
    </row>
    <row r="109" spans="1:15" x14ac:dyDescent="0.3">
      <c r="A109" s="2" t="s">
        <v>143</v>
      </c>
      <c r="B109" s="2" t="s">
        <v>136</v>
      </c>
      <c r="C109" s="2">
        <v>314</v>
      </c>
      <c r="D109" s="2" t="s">
        <v>41</v>
      </c>
      <c r="E109" s="2">
        <v>108</v>
      </c>
      <c r="F109" s="2">
        <v>4.7777777777777697</v>
      </c>
      <c r="G109" s="2">
        <v>4.7306153015124703</v>
      </c>
      <c r="H109" s="2">
        <v>4.7306153015124703</v>
      </c>
      <c r="I109" s="2">
        <v>4.6721736031107497</v>
      </c>
      <c r="J109" s="2">
        <v>4.5773466028541598</v>
      </c>
      <c r="K109" s="2">
        <v>4.3247848452892397</v>
      </c>
      <c r="L109" s="2">
        <v>4.0380227089198799</v>
      </c>
      <c r="M109">
        <f>products_final_scores_scenarios[[#This Row],[rating_raw]]*products_final_scores_scenarios[[#This Row],[reviews_count]]</f>
        <v>515.99999999999909</v>
      </c>
      <c r="N109">
        <f>products_final_scores_scenarios[[#This Row],[rating_smoothed]]*products_final_scores_scenarios[[#This Row],[reviews_count]]</f>
        <v>510.90645256334682</v>
      </c>
      <c r="O109">
        <f>products_final_scores_scenarios[[#This Row],[final_score__balanced]]*products_final_scores_scenarios[[#This Row],[reviews_count]]</f>
        <v>494.35343310824925</v>
      </c>
    </row>
    <row r="110" spans="1:15" x14ac:dyDescent="0.3">
      <c r="A110" s="2" t="s">
        <v>144</v>
      </c>
      <c r="B110" s="2" t="s">
        <v>136</v>
      </c>
      <c r="C110" s="2">
        <v>314</v>
      </c>
      <c r="D110" s="2" t="s">
        <v>41</v>
      </c>
      <c r="E110" s="2">
        <v>20</v>
      </c>
      <c r="F110" s="2">
        <v>5</v>
      </c>
      <c r="G110" s="2">
        <v>4.7379689648399097</v>
      </c>
      <c r="H110" s="2">
        <v>4.7379689648399097</v>
      </c>
      <c r="I110" s="2">
        <v>4.6346024978481601</v>
      </c>
      <c r="J110" s="2">
        <v>4.4730608698393599</v>
      </c>
      <c r="K110" s="2">
        <v>4.0945339335539401</v>
      </c>
      <c r="L110" s="2">
        <v>3.6736006075500098</v>
      </c>
      <c r="M110">
        <f>products_final_scores_scenarios[[#This Row],[rating_raw]]*products_final_scores_scenarios[[#This Row],[reviews_count]]</f>
        <v>100</v>
      </c>
      <c r="N110">
        <f>products_final_scores_scenarios[[#This Row],[rating_smoothed]]*products_final_scores_scenarios[[#This Row],[reviews_count]]</f>
        <v>94.759379296798187</v>
      </c>
      <c r="O110">
        <f>products_final_scores_scenarios[[#This Row],[final_score__balanced]]*products_final_scores_scenarios[[#This Row],[reviews_count]]</f>
        <v>89.461217396787191</v>
      </c>
    </row>
    <row r="111" spans="1:15" x14ac:dyDescent="0.3">
      <c r="A111" s="2" t="s">
        <v>145</v>
      </c>
      <c r="B111" s="2" t="s">
        <v>136</v>
      </c>
      <c r="C111" s="2">
        <v>314</v>
      </c>
      <c r="D111" s="2" t="s">
        <v>41</v>
      </c>
      <c r="E111" s="2">
        <v>21</v>
      </c>
      <c r="F111" s="2">
        <v>4.3333333333333304</v>
      </c>
      <c r="G111" s="2">
        <v>4.4028965510633302</v>
      </c>
      <c r="H111" s="2">
        <v>4.4028965510633302</v>
      </c>
      <c r="I111" s="2">
        <v>4.2903441419717598</v>
      </c>
      <c r="J111" s="2">
        <v>4.1370114876235196</v>
      </c>
      <c r="K111" s="2">
        <v>3.8141111929545799</v>
      </c>
      <c r="L111" s="2">
        <v>3.4943800545802901</v>
      </c>
      <c r="M111">
        <f>products_final_scores_scenarios[[#This Row],[rating_raw]]*products_final_scores_scenarios[[#This Row],[reviews_count]]</f>
        <v>90.999999999999943</v>
      </c>
      <c r="N111">
        <f>products_final_scores_scenarios[[#This Row],[rating_smoothed]]*products_final_scores_scenarios[[#This Row],[reviews_count]]</f>
        <v>92.460827572329933</v>
      </c>
      <c r="O111">
        <f>products_final_scores_scenarios[[#This Row],[final_score__balanced]]*products_final_scores_scenarios[[#This Row],[reviews_count]]</f>
        <v>86.877241240093909</v>
      </c>
    </row>
    <row r="112" spans="1:15" x14ac:dyDescent="0.3">
      <c r="A112" s="2" t="s">
        <v>146</v>
      </c>
      <c r="B112" s="2" t="s">
        <v>136</v>
      </c>
      <c r="C112" s="2">
        <v>314</v>
      </c>
      <c r="D112" s="2" t="s">
        <v>41</v>
      </c>
      <c r="E112" s="2">
        <v>36</v>
      </c>
      <c r="F112" s="2">
        <v>4.7777777777777697</v>
      </c>
      <c r="G112" s="2">
        <v>4.6699778320284997</v>
      </c>
      <c r="H112" s="2">
        <v>4.6699778320284997</v>
      </c>
      <c r="I112" s="2">
        <v>4.6699778320284997</v>
      </c>
      <c r="J112" s="2">
        <v>4.6699778320284997</v>
      </c>
      <c r="K112" s="2">
        <v>4.6699778320284997</v>
      </c>
      <c r="L112" s="2">
        <v>4.6699778320284997</v>
      </c>
      <c r="M112">
        <f>products_final_scores_scenarios[[#This Row],[rating_raw]]*products_final_scores_scenarios[[#This Row],[reviews_count]]</f>
        <v>171.99999999999972</v>
      </c>
      <c r="N112">
        <f>products_final_scores_scenarios[[#This Row],[rating_smoothed]]*products_final_scores_scenarios[[#This Row],[reviews_count]]</f>
        <v>168.11920195302599</v>
      </c>
      <c r="O112">
        <f>products_final_scores_scenarios[[#This Row],[final_score__balanced]]*products_final_scores_scenarios[[#This Row],[reviews_count]]</f>
        <v>168.11920195302599</v>
      </c>
    </row>
    <row r="113" spans="1:15" x14ac:dyDescent="0.3">
      <c r="A113" s="2" t="s">
        <v>147</v>
      </c>
      <c r="B113" s="2" t="s">
        <v>148</v>
      </c>
      <c r="C113" s="2">
        <v>76</v>
      </c>
      <c r="D113" s="2" t="s">
        <v>14</v>
      </c>
      <c r="E113" s="2">
        <v>16</v>
      </c>
      <c r="F113" s="2">
        <v>4.5</v>
      </c>
      <c r="G113" s="2">
        <v>4.5102519039250097</v>
      </c>
      <c r="H113" s="2">
        <v>4.5102519039250097</v>
      </c>
      <c r="I113" s="2">
        <v>4.4486946832577603</v>
      </c>
      <c r="J113" s="2">
        <v>4.3586802472739699</v>
      </c>
      <c r="K113" s="2">
        <v>4.1369249385509699</v>
      </c>
      <c r="L113" s="2">
        <v>3.9092111399164402</v>
      </c>
      <c r="M113">
        <f>products_final_scores_scenarios[[#This Row],[rating_raw]]*products_final_scores_scenarios[[#This Row],[reviews_count]]</f>
        <v>72</v>
      </c>
      <c r="N113">
        <f>products_final_scores_scenarios[[#This Row],[rating_smoothed]]*products_final_scores_scenarios[[#This Row],[reviews_count]]</f>
        <v>72.164030462800156</v>
      </c>
      <c r="O113">
        <f>products_final_scores_scenarios[[#This Row],[final_score__balanced]]*products_final_scores_scenarios[[#This Row],[reviews_count]]</f>
        <v>69.738883956383518</v>
      </c>
    </row>
    <row r="114" spans="1:15" x14ac:dyDescent="0.3">
      <c r="A114" s="2" t="s">
        <v>149</v>
      </c>
      <c r="B114" s="2" t="s">
        <v>148</v>
      </c>
      <c r="C114" s="2">
        <v>76</v>
      </c>
      <c r="D114" s="2" t="s">
        <v>14</v>
      </c>
      <c r="E114" s="2">
        <v>126</v>
      </c>
      <c r="F114" s="2">
        <v>4.5158730158730096</v>
      </c>
      <c r="G114" s="2">
        <v>4.51622649685822</v>
      </c>
      <c r="H114" s="2">
        <v>4.51622649685822</v>
      </c>
      <c r="I114" s="2">
        <v>4.4341998287621998</v>
      </c>
      <c r="J114" s="2">
        <v>4.30385129486063</v>
      </c>
      <c r="K114" s="2">
        <v>3.98192240083864</v>
      </c>
      <c r="L114" s="2">
        <v>3.6203320365987501</v>
      </c>
      <c r="M114">
        <f>products_final_scores_scenarios[[#This Row],[rating_raw]]*products_final_scores_scenarios[[#This Row],[reviews_count]]</f>
        <v>568.9999999999992</v>
      </c>
      <c r="N114">
        <f>products_final_scores_scenarios[[#This Row],[rating_smoothed]]*products_final_scores_scenarios[[#This Row],[reviews_count]]</f>
        <v>569.04453860413571</v>
      </c>
      <c r="O114">
        <f>products_final_scores_scenarios[[#This Row],[final_score__balanced]]*products_final_scores_scenarios[[#This Row],[reviews_count]]</f>
        <v>542.28526315243937</v>
      </c>
    </row>
    <row r="115" spans="1:15" x14ac:dyDescent="0.3">
      <c r="A115" s="2" t="s">
        <v>150</v>
      </c>
      <c r="B115" s="2" t="s">
        <v>148</v>
      </c>
      <c r="C115" s="2">
        <v>76</v>
      </c>
      <c r="D115" s="2" t="s">
        <v>14</v>
      </c>
      <c r="E115" s="2">
        <v>74</v>
      </c>
      <c r="F115" s="2">
        <v>4.9189189189189104</v>
      </c>
      <c r="G115" s="2">
        <v>4.8337134951202101</v>
      </c>
      <c r="H115" s="2">
        <v>4.8337134951202101</v>
      </c>
      <c r="I115" s="2">
        <v>4.7636966666974203</v>
      </c>
      <c r="J115" s="2">
        <v>4.6518239248526898</v>
      </c>
      <c r="K115" s="2">
        <v>4.3663893429555296</v>
      </c>
      <c r="L115" s="2">
        <v>4.0452441469757296</v>
      </c>
      <c r="M115">
        <f>products_final_scores_scenarios[[#This Row],[rating_raw]]*products_final_scores_scenarios[[#This Row],[reviews_count]]</f>
        <v>363.99999999999937</v>
      </c>
      <c r="N115">
        <f>products_final_scores_scenarios[[#This Row],[rating_smoothed]]*products_final_scores_scenarios[[#This Row],[reviews_count]]</f>
        <v>357.69479863889552</v>
      </c>
      <c r="O115">
        <f>products_final_scores_scenarios[[#This Row],[final_score__balanced]]*products_final_scores_scenarios[[#This Row],[reviews_count]]</f>
        <v>344.23497043909907</v>
      </c>
    </row>
    <row r="116" spans="1:15" x14ac:dyDescent="0.3">
      <c r="A116" s="2" t="s">
        <v>151</v>
      </c>
      <c r="B116" s="2" t="s">
        <v>148</v>
      </c>
      <c r="C116" s="2">
        <v>76</v>
      </c>
      <c r="D116" s="2" t="s">
        <v>14</v>
      </c>
      <c r="E116" s="2">
        <v>19</v>
      </c>
      <c r="F116" s="2">
        <v>4.8421052631578902</v>
      </c>
      <c r="G116" s="2">
        <v>4.6761299625974404</v>
      </c>
      <c r="H116" s="2">
        <v>4.6761299625974404</v>
      </c>
      <c r="I116" s="2">
        <v>4.6761299625974404</v>
      </c>
      <c r="J116" s="2">
        <v>4.6761299625974404</v>
      </c>
      <c r="K116" s="2">
        <v>4.6761299625974404</v>
      </c>
      <c r="L116" s="2">
        <v>4.6761299625974404</v>
      </c>
      <c r="M116">
        <f>products_final_scores_scenarios[[#This Row],[rating_raw]]*products_final_scores_scenarios[[#This Row],[reviews_count]]</f>
        <v>91.999999999999915</v>
      </c>
      <c r="N116">
        <f>products_final_scores_scenarios[[#This Row],[rating_smoothed]]*products_final_scores_scenarios[[#This Row],[reviews_count]]</f>
        <v>88.846469289351361</v>
      </c>
      <c r="O116">
        <f>products_final_scores_scenarios[[#This Row],[final_score__balanced]]*products_final_scores_scenarios[[#This Row],[reviews_count]]</f>
        <v>88.846469289351361</v>
      </c>
    </row>
    <row r="117" spans="1:15" x14ac:dyDescent="0.3">
      <c r="A117" s="2" t="s">
        <v>152</v>
      </c>
      <c r="B117" s="2" t="s">
        <v>148</v>
      </c>
      <c r="C117" s="2">
        <v>76</v>
      </c>
      <c r="D117" s="2" t="s">
        <v>14</v>
      </c>
      <c r="E117" s="2">
        <v>100</v>
      </c>
      <c r="F117" s="2">
        <v>4.6100000000000003</v>
      </c>
      <c r="G117" s="2">
        <v>4.5947422378441702</v>
      </c>
      <c r="H117" s="2">
        <v>4.5947422378441702</v>
      </c>
      <c r="I117" s="2">
        <v>4.5176566412151198</v>
      </c>
      <c r="J117" s="2">
        <v>4.39297547916724</v>
      </c>
      <c r="K117" s="2">
        <v>4.0790311790819196</v>
      </c>
      <c r="L117" s="2">
        <v>3.7216943319420901</v>
      </c>
      <c r="M117">
        <f>products_final_scores_scenarios[[#This Row],[rating_raw]]*products_final_scores_scenarios[[#This Row],[reviews_count]]</f>
        <v>461.00000000000006</v>
      </c>
      <c r="N117">
        <f>products_final_scores_scenarios[[#This Row],[rating_smoothed]]*products_final_scores_scenarios[[#This Row],[reviews_count]]</f>
        <v>459.47422378441701</v>
      </c>
      <c r="O117">
        <f>products_final_scores_scenarios[[#This Row],[final_score__balanced]]*products_final_scores_scenarios[[#This Row],[reviews_count]]</f>
        <v>439.297547916724</v>
      </c>
    </row>
    <row r="118" spans="1:15" x14ac:dyDescent="0.3">
      <c r="A118" s="2" t="s">
        <v>153</v>
      </c>
      <c r="B118" s="2" t="s">
        <v>148</v>
      </c>
      <c r="C118" s="2">
        <v>76</v>
      </c>
      <c r="D118" s="2" t="s">
        <v>14</v>
      </c>
      <c r="E118" s="2">
        <v>34</v>
      </c>
      <c r="F118" s="2">
        <v>4.5882352941176396</v>
      </c>
      <c r="G118" s="2">
        <v>4.5623901581722297</v>
      </c>
      <c r="H118" s="2">
        <v>4.5623901581722297</v>
      </c>
      <c r="I118" s="2">
        <v>4.4869460109962898</v>
      </c>
      <c r="J118" s="2">
        <v>4.3694655901908499</v>
      </c>
      <c r="K118" s="2">
        <v>4.07819651996925</v>
      </c>
      <c r="L118" s="2">
        <v>3.7570769198824898</v>
      </c>
      <c r="M118">
        <f>products_final_scores_scenarios[[#This Row],[rating_raw]]*products_final_scores_scenarios[[#This Row],[reviews_count]]</f>
        <v>155.99999999999974</v>
      </c>
      <c r="N118">
        <f>products_final_scores_scenarios[[#This Row],[rating_smoothed]]*products_final_scores_scenarios[[#This Row],[reviews_count]]</f>
        <v>155.12126537785582</v>
      </c>
      <c r="O118">
        <f>products_final_scores_scenarios[[#This Row],[final_score__balanced]]*products_final_scores_scenarios[[#This Row],[reviews_count]]</f>
        <v>148.56183006648891</v>
      </c>
    </row>
    <row r="119" spans="1:15" x14ac:dyDescent="0.3">
      <c r="A119" s="2" t="s">
        <v>154</v>
      </c>
      <c r="B119" s="2" t="s">
        <v>148</v>
      </c>
      <c r="C119" s="2">
        <v>76</v>
      </c>
      <c r="D119" s="2" t="s">
        <v>14</v>
      </c>
      <c r="E119" s="2">
        <v>388</v>
      </c>
      <c r="F119" s="2">
        <v>4.8247422680412297</v>
      </c>
      <c r="G119" s="2">
        <v>4.8097281091698498</v>
      </c>
      <c r="H119" s="2">
        <v>4.8097281091698498</v>
      </c>
      <c r="I119" s="2">
        <v>4.7356459047907</v>
      </c>
      <c r="J119" s="2">
        <v>4.6186281485512302</v>
      </c>
      <c r="K119" s="2">
        <v>4.3253595523636799</v>
      </c>
      <c r="L119" s="2">
        <v>3.9981598227616399</v>
      </c>
      <c r="M119">
        <f>products_final_scores_scenarios[[#This Row],[rating_raw]]*products_final_scores_scenarios[[#This Row],[reviews_count]]</f>
        <v>1871.999999999997</v>
      </c>
      <c r="N119">
        <f>products_final_scores_scenarios[[#This Row],[rating_smoothed]]*products_final_scores_scenarios[[#This Row],[reviews_count]]</f>
        <v>1866.1745063579017</v>
      </c>
      <c r="O119">
        <f>products_final_scores_scenarios[[#This Row],[final_score__balanced]]*products_final_scores_scenarios[[#This Row],[reviews_count]]</f>
        <v>1792.0277216378772</v>
      </c>
    </row>
    <row r="120" spans="1:15" x14ac:dyDescent="0.3">
      <c r="A120" s="2" t="s">
        <v>155</v>
      </c>
      <c r="B120" s="2" t="s">
        <v>148</v>
      </c>
      <c r="C120" s="2">
        <v>76</v>
      </c>
      <c r="D120" s="2" t="s">
        <v>14</v>
      </c>
      <c r="E120" s="2">
        <v>4</v>
      </c>
      <c r="F120" s="2">
        <v>5</v>
      </c>
      <c r="G120" s="2">
        <v>4.5987111892208503</v>
      </c>
      <c r="H120" s="2">
        <v>4.5987111892208503</v>
      </c>
      <c r="I120" s="2">
        <v>4.5987111892208503</v>
      </c>
      <c r="J120" s="2">
        <v>4.5987111892208503</v>
      </c>
      <c r="K120" s="2">
        <v>4.5987111892208503</v>
      </c>
      <c r="L120" s="2">
        <v>4.5987111892208503</v>
      </c>
      <c r="M120">
        <f>products_final_scores_scenarios[[#This Row],[rating_raw]]*products_final_scores_scenarios[[#This Row],[reviews_count]]</f>
        <v>20</v>
      </c>
      <c r="N120">
        <f>products_final_scores_scenarios[[#This Row],[rating_smoothed]]*products_final_scores_scenarios[[#This Row],[reviews_count]]</f>
        <v>18.394844756883401</v>
      </c>
      <c r="O120">
        <f>products_final_scores_scenarios[[#This Row],[final_score__balanced]]*products_final_scores_scenarios[[#This Row],[reviews_count]]</f>
        <v>18.394844756883401</v>
      </c>
    </row>
    <row r="121" spans="1:15" x14ac:dyDescent="0.3">
      <c r="A121" s="2" t="s">
        <v>156</v>
      </c>
      <c r="B121" s="2" t="s">
        <v>157</v>
      </c>
      <c r="C121" s="2">
        <v>225</v>
      </c>
      <c r="D121" s="2" t="s">
        <v>35</v>
      </c>
      <c r="E121" s="2">
        <v>92</v>
      </c>
      <c r="F121" s="2">
        <v>4.75</v>
      </c>
      <c r="G121" s="2">
        <v>4.7139026402640196</v>
      </c>
      <c r="H121" s="2">
        <v>4.7139026402640196</v>
      </c>
      <c r="I121" s="2">
        <v>4.6690608764146999</v>
      </c>
      <c r="J121" s="2">
        <v>4.5952125965123303</v>
      </c>
      <c r="K121" s="2">
        <v>4.3884439337186301</v>
      </c>
      <c r="L121" s="2">
        <v>4.1520101249827004</v>
      </c>
      <c r="M121">
        <f>products_final_scores_scenarios[[#This Row],[rating_raw]]*products_final_scores_scenarios[[#This Row],[reviews_count]]</f>
        <v>437</v>
      </c>
      <c r="N121">
        <f>products_final_scores_scenarios[[#This Row],[rating_smoothed]]*products_final_scores_scenarios[[#This Row],[reviews_count]]</f>
        <v>433.67904290428982</v>
      </c>
      <c r="O121">
        <f>products_final_scores_scenarios[[#This Row],[final_score__balanced]]*products_final_scores_scenarios[[#This Row],[reviews_count]]</f>
        <v>422.75955887913437</v>
      </c>
    </row>
    <row r="122" spans="1:15" x14ac:dyDescent="0.3">
      <c r="A122" s="2" t="s">
        <v>158</v>
      </c>
      <c r="B122" s="2" t="s">
        <v>157</v>
      </c>
      <c r="C122" s="2">
        <v>225</v>
      </c>
      <c r="D122" s="2" t="s">
        <v>35</v>
      </c>
      <c r="E122" s="2">
        <v>13</v>
      </c>
      <c r="F122" s="2">
        <v>4.8461538461538396</v>
      </c>
      <c r="G122" s="2">
        <v>4.6653665366536599</v>
      </c>
      <c r="H122" s="2">
        <v>4.6653665366536599</v>
      </c>
      <c r="I122" s="2">
        <v>4.5854525763226901</v>
      </c>
      <c r="J122" s="2">
        <v>4.4588726453730496</v>
      </c>
      <c r="K122" s="2">
        <v>4.1449249782189099</v>
      </c>
      <c r="L122" s="2">
        <v>3.90966569592119</v>
      </c>
      <c r="M122">
        <f>products_final_scores_scenarios[[#This Row],[rating_raw]]*products_final_scores_scenarios[[#This Row],[reviews_count]]</f>
        <v>62.999999999999915</v>
      </c>
      <c r="N122">
        <f>products_final_scores_scenarios[[#This Row],[rating_smoothed]]*products_final_scores_scenarios[[#This Row],[reviews_count]]</f>
        <v>60.649764976497579</v>
      </c>
      <c r="O122">
        <f>products_final_scores_scenarios[[#This Row],[final_score__balanced]]*products_final_scores_scenarios[[#This Row],[reviews_count]]</f>
        <v>57.965344389849648</v>
      </c>
    </row>
    <row r="123" spans="1:15" x14ac:dyDescent="0.3">
      <c r="A123" s="2" t="s">
        <v>159</v>
      </c>
      <c r="B123" s="2" t="s">
        <v>157</v>
      </c>
      <c r="C123" s="2">
        <v>225</v>
      </c>
      <c r="D123" s="2" t="s">
        <v>35</v>
      </c>
      <c r="E123" s="2">
        <v>12</v>
      </c>
      <c r="F123" s="2">
        <v>4.9166666666666599</v>
      </c>
      <c r="G123" s="2">
        <v>4.6861592409240904</v>
      </c>
      <c r="H123" s="2">
        <v>4.6861592409240904</v>
      </c>
      <c r="I123" s="2">
        <v>4.6861592409240904</v>
      </c>
      <c r="J123" s="2">
        <v>4.6861592409240904</v>
      </c>
      <c r="K123" s="2">
        <v>4.6861592409240904</v>
      </c>
      <c r="L123" s="2">
        <v>4.6861592409240904</v>
      </c>
      <c r="M123">
        <f>products_final_scores_scenarios[[#This Row],[rating_raw]]*products_final_scores_scenarios[[#This Row],[reviews_count]]</f>
        <v>58.999999999999915</v>
      </c>
      <c r="N123">
        <f>products_final_scores_scenarios[[#This Row],[rating_smoothed]]*products_final_scores_scenarios[[#This Row],[reviews_count]]</f>
        <v>56.233910891089081</v>
      </c>
      <c r="O123">
        <f>products_final_scores_scenarios[[#This Row],[final_score__balanced]]*products_final_scores_scenarios[[#This Row],[reviews_count]]</f>
        <v>56.233910891089081</v>
      </c>
    </row>
    <row r="124" spans="1:15" x14ac:dyDescent="0.3">
      <c r="A124" s="2" t="s">
        <v>160</v>
      </c>
      <c r="B124" s="2" t="s">
        <v>157</v>
      </c>
      <c r="C124" s="2">
        <v>225</v>
      </c>
      <c r="D124" s="2" t="s">
        <v>35</v>
      </c>
      <c r="E124" s="2">
        <v>4</v>
      </c>
      <c r="F124" s="2">
        <v>3.25</v>
      </c>
      <c r="G124" s="2">
        <v>4.33154565456545</v>
      </c>
      <c r="H124" s="2">
        <v>4.33154565456545</v>
      </c>
      <c r="I124" s="2">
        <v>4.33154565456545</v>
      </c>
      <c r="J124" s="2">
        <v>4.33154565456545</v>
      </c>
      <c r="K124" s="2">
        <v>4.33154565456545</v>
      </c>
      <c r="L124" s="2">
        <v>4.33154565456545</v>
      </c>
      <c r="M124">
        <f>products_final_scores_scenarios[[#This Row],[rating_raw]]*products_final_scores_scenarios[[#This Row],[reviews_count]]</f>
        <v>13</v>
      </c>
      <c r="N124">
        <f>products_final_scores_scenarios[[#This Row],[rating_smoothed]]*products_final_scores_scenarios[[#This Row],[reviews_count]]</f>
        <v>17.3261826182618</v>
      </c>
      <c r="O124">
        <f>products_final_scores_scenarios[[#This Row],[final_score__balanced]]*products_final_scores_scenarios[[#This Row],[reviews_count]]</f>
        <v>17.3261826182618</v>
      </c>
    </row>
    <row r="125" spans="1:15" x14ac:dyDescent="0.3">
      <c r="A125" s="2" t="s">
        <v>161</v>
      </c>
      <c r="B125" s="2" t="s">
        <v>157</v>
      </c>
      <c r="C125" s="2">
        <v>225</v>
      </c>
      <c r="D125" s="2" t="s">
        <v>35</v>
      </c>
      <c r="E125" s="2">
        <v>3</v>
      </c>
      <c r="F125" s="2">
        <v>5</v>
      </c>
      <c r="G125" s="2">
        <v>4.6068302482422103</v>
      </c>
      <c r="H125" s="2">
        <v>4.6068302482422103</v>
      </c>
      <c r="I125" s="2">
        <v>4.6068302482422103</v>
      </c>
      <c r="J125" s="2">
        <v>4.6068302482422103</v>
      </c>
      <c r="K125" s="2">
        <v>4.6068302482422103</v>
      </c>
      <c r="L125" s="2">
        <v>4.6068302482422103</v>
      </c>
      <c r="M125">
        <f>products_final_scores_scenarios[[#This Row],[rating_raw]]*products_final_scores_scenarios[[#This Row],[reviews_count]]</f>
        <v>15</v>
      </c>
      <c r="N125">
        <f>products_final_scores_scenarios[[#This Row],[rating_smoothed]]*products_final_scores_scenarios[[#This Row],[reviews_count]]</f>
        <v>13.82049074472663</v>
      </c>
      <c r="O125">
        <f>products_final_scores_scenarios[[#This Row],[final_score__balanced]]*products_final_scores_scenarios[[#This Row],[reviews_count]]</f>
        <v>13.82049074472663</v>
      </c>
    </row>
    <row r="126" spans="1:15" x14ac:dyDescent="0.3">
      <c r="A126" s="2" t="s">
        <v>162</v>
      </c>
      <c r="B126" s="2" t="s">
        <v>157</v>
      </c>
      <c r="C126" s="2">
        <v>225</v>
      </c>
      <c r="D126" s="2" t="s">
        <v>35</v>
      </c>
      <c r="E126" s="2">
        <v>4</v>
      </c>
      <c r="F126" s="2">
        <v>4.75</v>
      </c>
      <c r="G126" s="2">
        <v>4.58154565456545</v>
      </c>
      <c r="H126" s="2">
        <v>4.58154565456545</v>
      </c>
      <c r="I126" s="2">
        <v>4.58154565456545</v>
      </c>
      <c r="J126" s="2">
        <v>4.58154565456545</v>
      </c>
      <c r="K126" s="2">
        <v>4.58154565456545</v>
      </c>
      <c r="L126" s="2">
        <v>4.58154565456545</v>
      </c>
      <c r="M126">
        <f>products_final_scores_scenarios[[#This Row],[rating_raw]]*products_final_scores_scenarios[[#This Row],[reviews_count]]</f>
        <v>19</v>
      </c>
      <c r="N126">
        <f>products_final_scores_scenarios[[#This Row],[rating_smoothed]]*products_final_scores_scenarios[[#This Row],[reviews_count]]</f>
        <v>18.3261826182618</v>
      </c>
      <c r="O126">
        <f>products_final_scores_scenarios[[#This Row],[final_score__balanced]]*products_final_scores_scenarios[[#This Row],[reviews_count]]</f>
        <v>18.3261826182618</v>
      </c>
    </row>
    <row r="127" spans="1:15" x14ac:dyDescent="0.3">
      <c r="A127" s="2" t="s">
        <v>163</v>
      </c>
      <c r="B127" s="2" t="s">
        <v>157</v>
      </c>
      <c r="C127" s="2">
        <v>225</v>
      </c>
      <c r="D127" s="2" t="s">
        <v>35</v>
      </c>
      <c r="E127" s="2">
        <v>4</v>
      </c>
      <c r="F127" s="2">
        <v>5</v>
      </c>
      <c r="G127" s="2">
        <v>4.6232123212321197</v>
      </c>
      <c r="H127" s="2">
        <v>4.6232123212321197</v>
      </c>
      <c r="I127" s="2">
        <v>4.5715208952572501</v>
      </c>
      <c r="J127" s="2">
        <v>4.49126153015483</v>
      </c>
      <c r="K127" s="2">
        <v>4.3119904948537497</v>
      </c>
      <c r="L127" s="2">
        <v>4.2832123212321198</v>
      </c>
      <c r="M127">
        <f>products_final_scores_scenarios[[#This Row],[rating_raw]]*products_final_scores_scenarios[[#This Row],[reviews_count]]</f>
        <v>20</v>
      </c>
      <c r="N127">
        <f>products_final_scores_scenarios[[#This Row],[rating_smoothed]]*products_final_scores_scenarios[[#This Row],[reviews_count]]</f>
        <v>18.492849284928479</v>
      </c>
      <c r="O127">
        <f>products_final_scores_scenarios[[#This Row],[final_score__balanced]]*products_final_scores_scenarios[[#This Row],[reviews_count]]</f>
        <v>17.96504612061932</v>
      </c>
    </row>
    <row r="128" spans="1:15" x14ac:dyDescent="0.3">
      <c r="A128" s="2" t="s">
        <v>164</v>
      </c>
      <c r="B128" s="2" t="s">
        <v>157</v>
      </c>
      <c r="C128" s="2">
        <v>225</v>
      </c>
      <c r="D128" s="2" t="s">
        <v>35</v>
      </c>
      <c r="E128" s="2">
        <v>1</v>
      </c>
      <c r="F128" s="2">
        <v>5</v>
      </c>
      <c r="G128" s="2">
        <v>4.5693855099795604</v>
      </c>
      <c r="H128" s="2">
        <v>4.5693855099795604</v>
      </c>
      <c r="I128" s="2">
        <v>4.5693855099795604</v>
      </c>
      <c r="J128" s="2">
        <v>4.5693855099795604</v>
      </c>
      <c r="K128" s="2">
        <v>4.5693855099795604</v>
      </c>
      <c r="L128" s="2">
        <v>4.5693855099795604</v>
      </c>
      <c r="M128">
        <f>products_final_scores_scenarios[[#This Row],[rating_raw]]*products_final_scores_scenarios[[#This Row],[reviews_count]]</f>
        <v>5</v>
      </c>
      <c r="N128">
        <f>products_final_scores_scenarios[[#This Row],[rating_smoothed]]*products_final_scores_scenarios[[#This Row],[reviews_count]]</f>
        <v>4.5693855099795604</v>
      </c>
      <c r="O128">
        <f>products_final_scores_scenarios[[#This Row],[final_score__balanced]]*products_final_scores_scenarios[[#This Row],[reviews_count]]</f>
        <v>4.5693855099795604</v>
      </c>
    </row>
    <row r="129" spans="1:15" x14ac:dyDescent="0.3">
      <c r="A129" s="2" t="s">
        <v>165</v>
      </c>
      <c r="B129" s="2" t="s">
        <v>157</v>
      </c>
      <c r="C129" s="2">
        <v>225</v>
      </c>
      <c r="D129" s="2" t="s">
        <v>35</v>
      </c>
      <c r="E129" s="2">
        <v>27</v>
      </c>
      <c r="F129" s="2">
        <v>4.7037037037036997</v>
      </c>
      <c r="G129" s="2">
        <v>4.6373850150972498</v>
      </c>
      <c r="H129" s="2">
        <v>4.6373850150972498</v>
      </c>
      <c r="I129" s="2">
        <v>4.5451335136855899</v>
      </c>
      <c r="J129" s="2">
        <v>4.4004818968900601</v>
      </c>
      <c r="K129" s="2">
        <v>4.0558551662857303</v>
      </c>
      <c r="L129" s="2">
        <v>3.6720021520599699</v>
      </c>
      <c r="M129">
        <f>products_final_scores_scenarios[[#This Row],[rating_raw]]*products_final_scores_scenarios[[#This Row],[reviews_count]]</f>
        <v>126.99999999999989</v>
      </c>
      <c r="N129">
        <f>products_final_scores_scenarios[[#This Row],[rating_smoothed]]*products_final_scores_scenarios[[#This Row],[reviews_count]]</f>
        <v>125.20939540762575</v>
      </c>
      <c r="O129">
        <f>products_final_scores_scenarios[[#This Row],[final_score__balanced]]*products_final_scores_scenarios[[#This Row],[reviews_count]]</f>
        <v>118.81301121603163</v>
      </c>
    </row>
    <row r="130" spans="1:15" x14ac:dyDescent="0.3">
      <c r="A130" s="2" t="s">
        <v>166</v>
      </c>
      <c r="B130" s="2" t="s">
        <v>157</v>
      </c>
      <c r="C130" s="2">
        <v>225</v>
      </c>
      <c r="D130" s="2" t="s">
        <v>35</v>
      </c>
      <c r="E130" s="2">
        <v>14</v>
      </c>
      <c r="F130" s="2">
        <v>4.71428571428571</v>
      </c>
      <c r="G130" s="2">
        <v>4.6163851679285504</v>
      </c>
      <c r="H130" s="2">
        <v>4.6163851679285504</v>
      </c>
      <c r="I130" s="2">
        <v>4.5092536861531398</v>
      </c>
      <c r="J130" s="2">
        <v>4.3497751223072498</v>
      </c>
      <c r="K130" s="2">
        <v>3.98997302276315</v>
      </c>
      <c r="L130" s="2">
        <v>3.67204866616055</v>
      </c>
      <c r="M130">
        <f>products_final_scores_scenarios[[#This Row],[rating_raw]]*products_final_scores_scenarios[[#This Row],[reviews_count]]</f>
        <v>65.999999999999943</v>
      </c>
      <c r="N130">
        <f>products_final_scores_scenarios[[#This Row],[rating_smoothed]]*products_final_scores_scenarios[[#This Row],[reviews_count]]</f>
        <v>64.629392350999709</v>
      </c>
      <c r="O130">
        <f>products_final_scores_scenarios[[#This Row],[final_score__balanced]]*products_final_scores_scenarios[[#This Row],[reviews_count]]</f>
        <v>60.896851712301498</v>
      </c>
    </row>
    <row r="131" spans="1:15" x14ac:dyDescent="0.3">
      <c r="A131" s="2" t="s">
        <v>167</v>
      </c>
      <c r="B131" s="2" t="s">
        <v>157</v>
      </c>
      <c r="C131" s="2">
        <v>225</v>
      </c>
      <c r="D131" s="2" t="s">
        <v>35</v>
      </c>
      <c r="E131" s="2">
        <v>1</v>
      </c>
      <c r="F131" s="2">
        <v>5</v>
      </c>
      <c r="G131" s="2">
        <v>4.5693855099795604</v>
      </c>
      <c r="H131" s="2">
        <v>4.5693855099795604</v>
      </c>
      <c r="I131" s="2">
        <v>4.5693855099795604</v>
      </c>
      <c r="J131" s="2">
        <v>4.5693855099795604</v>
      </c>
      <c r="K131" s="2">
        <v>4.5693855099795604</v>
      </c>
      <c r="L131" s="2">
        <v>4.5693855099795604</v>
      </c>
      <c r="M131">
        <f>products_final_scores_scenarios[[#This Row],[rating_raw]]*products_final_scores_scenarios[[#This Row],[reviews_count]]</f>
        <v>5</v>
      </c>
      <c r="N131">
        <f>products_final_scores_scenarios[[#This Row],[rating_smoothed]]*products_final_scores_scenarios[[#This Row],[reviews_count]]</f>
        <v>4.5693855099795604</v>
      </c>
      <c r="O131">
        <f>products_final_scores_scenarios[[#This Row],[final_score__balanced]]*products_final_scores_scenarios[[#This Row],[reviews_count]]</f>
        <v>4.5693855099795604</v>
      </c>
    </row>
    <row r="132" spans="1:15" x14ac:dyDescent="0.3">
      <c r="A132" s="2" t="s">
        <v>168</v>
      </c>
      <c r="B132" s="2" t="s">
        <v>157</v>
      </c>
      <c r="C132" s="2">
        <v>225</v>
      </c>
      <c r="D132" s="2" t="s">
        <v>35</v>
      </c>
      <c r="E132" s="2">
        <v>1</v>
      </c>
      <c r="F132" s="2">
        <v>3</v>
      </c>
      <c r="G132" s="2">
        <v>4.4741474147414699</v>
      </c>
      <c r="H132" s="2">
        <v>4.4741474147414699</v>
      </c>
      <c r="I132" s="2">
        <v>4.4741474147414699</v>
      </c>
      <c r="J132" s="2">
        <v>4.4741474147414699</v>
      </c>
      <c r="K132" s="2">
        <v>4.4741474147414699</v>
      </c>
      <c r="L132" s="2">
        <v>4.4741474147414699</v>
      </c>
      <c r="M132">
        <f>products_final_scores_scenarios[[#This Row],[rating_raw]]*products_final_scores_scenarios[[#This Row],[reviews_count]]</f>
        <v>3</v>
      </c>
      <c r="N132">
        <f>products_final_scores_scenarios[[#This Row],[rating_smoothed]]*products_final_scores_scenarios[[#This Row],[reviews_count]]</f>
        <v>4.4741474147414699</v>
      </c>
      <c r="O132">
        <f>products_final_scores_scenarios[[#This Row],[final_score__balanced]]*products_final_scores_scenarios[[#This Row],[reviews_count]]</f>
        <v>4.4741474147414699</v>
      </c>
    </row>
    <row r="133" spans="1:15" x14ac:dyDescent="0.3">
      <c r="A133" s="2" t="s">
        <v>169</v>
      </c>
      <c r="B133" s="2" t="s">
        <v>157</v>
      </c>
      <c r="C133" s="2">
        <v>225</v>
      </c>
      <c r="D133" s="2" t="s">
        <v>35</v>
      </c>
      <c r="E133" s="2">
        <v>2</v>
      </c>
      <c r="F133" s="2">
        <v>2</v>
      </c>
      <c r="G133" s="2">
        <v>4.3162316231623103</v>
      </c>
      <c r="H133" s="2">
        <v>4.3162316231623103</v>
      </c>
      <c r="I133" s="2">
        <v>4.2733606846608598</v>
      </c>
      <c r="J133" s="2">
        <v>4.2243357547625502</v>
      </c>
      <c r="K133" s="2">
        <v>4.1446955947618402</v>
      </c>
      <c r="L133" s="2">
        <v>4.1559540860933604</v>
      </c>
      <c r="M133">
        <f>products_final_scores_scenarios[[#This Row],[rating_raw]]*products_final_scores_scenarios[[#This Row],[reviews_count]]</f>
        <v>4</v>
      </c>
      <c r="N133">
        <f>products_final_scores_scenarios[[#This Row],[rating_smoothed]]*products_final_scores_scenarios[[#This Row],[reviews_count]]</f>
        <v>8.6324632463246207</v>
      </c>
      <c r="O133">
        <f>products_final_scores_scenarios[[#This Row],[final_score__balanced]]*products_final_scores_scenarios[[#This Row],[reviews_count]]</f>
        <v>8.4486715095251004</v>
      </c>
    </row>
    <row r="134" spans="1:15" x14ac:dyDescent="0.3">
      <c r="A134" s="2" t="s">
        <v>170</v>
      </c>
      <c r="B134" s="2" t="s">
        <v>157</v>
      </c>
      <c r="C134" s="2">
        <v>225</v>
      </c>
      <c r="D134" s="2" t="s">
        <v>35</v>
      </c>
      <c r="E134" s="2">
        <v>2</v>
      </c>
      <c r="F134" s="2">
        <v>5</v>
      </c>
      <c r="G134" s="2">
        <v>4.5889588958895802</v>
      </c>
      <c r="H134" s="2">
        <v>4.5889588958895802</v>
      </c>
      <c r="I134" s="2">
        <v>4.5889588958895802</v>
      </c>
      <c r="J134" s="2">
        <v>4.5889588958895802</v>
      </c>
      <c r="K134" s="2">
        <v>4.5889588958895802</v>
      </c>
      <c r="L134" s="2">
        <v>4.5889588958895802</v>
      </c>
      <c r="M134">
        <f>products_final_scores_scenarios[[#This Row],[rating_raw]]*products_final_scores_scenarios[[#This Row],[reviews_count]]</f>
        <v>10</v>
      </c>
      <c r="N134">
        <f>products_final_scores_scenarios[[#This Row],[rating_smoothed]]*products_final_scores_scenarios[[#This Row],[reviews_count]]</f>
        <v>9.1779177917791603</v>
      </c>
      <c r="O134">
        <f>products_final_scores_scenarios[[#This Row],[final_score__balanced]]*products_final_scores_scenarios[[#This Row],[reviews_count]]</f>
        <v>9.1779177917791603</v>
      </c>
    </row>
    <row r="135" spans="1:15" x14ac:dyDescent="0.3">
      <c r="A135" s="2" t="s">
        <v>171</v>
      </c>
      <c r="B135" s="2" t="s">
        <v>172</v>
      </c>
      <c r="C135" s="2">
        <v>76</v>
      </c>
      <c r="D135" s="2" t="s">
        <v>14</v>
      </c>
      <c r="E135" s="2">
        <v>6</v>
      </c>
      <c r="F135" s="2">
        <v>3.8333333333333299</v>
      </c>
      <c r="G135" s="2">
        <v>4.3603487900500202</v>
      </c>
      <c r="H135" s="2">
        <v>4.3603487900500202</v>
      </c>
      <c r="I135" s="2">
        <v>4.2636181149670804</v>
      </c>
      <c r="J135" s="2">
        <v>4.1278123479884501</v>
      </c>
      <c r="K135" s="2">
        <v>3.8559989785275199</v>
      </c>
      <c r="L135" s="2">
        <v>3.8368845459847498</v>
      </c>
      <c r="M135">
        <f>products_final_scores_scenarios[[#This Row],[rating_raw]]*products_final_scores_scenarios[[#This Row],[reviews_count]]</f>
        <v>22.999999999999979</v>
      </c>
      <c r="N135">
        <f>products_final_scores_scenarios[[#This Row],[rating_smoothed]]*products_final_scores_scenarios[[#This Row],[reviews_count]]</f>
        <v>26.162092740300121</v>
      </c>
      <c r="O135">
        <f>products_final_scores_scenarios[[#This Row],[final_score__balanced]]*products_final_scores_scenarios[[#This Row],[reviews_count]]</f>
        <v>24.766874087930702</v>
      </c>
    </row>
    <row r="136" spans="1:15" x14ac:dyDescent="0.3">
      <c r="A136" s="2" t="s">
        <v>173</v>
      </c>
      <c r="B136" s="2" t="s">
        <v>172</v>
      </c>
      <c r="C136" s="2">
        <v>76</v>
      </c>
      <c r="D136" s="2" t="s">
        <v>14</v>
      </c>
      <c r="E136" s="2">
        <v>29</v>
      </c>
      <c r="F136" s="2">
        <v>4.2413793103448203</v>
      </c>
      <c r="G136" s="2">
        <v>4.3544707865571501</v>
      </c>
      <c r="H136" s="2">
        <v>4.3544707865571501</v>
      </c>
      <c r="I136" s="2">
        <v>4.1518657311248699</v>
      </c>
      <c r="J136" s="2">
        <v>3.8642168513524902</v>
      </c>
      <c r="K136" s="2">
        <v>3.3116434698533599</v>
      </c>
      <c r="L136" s="2">
        <v>2.7329930011093699</v>
      </c>
      <c r="M136">
        <f>products_final_scores_scenarios[[#This Row],[rating_raw]]*products_final_scores_scenarios[[#This Row],[reviews_count]]</f>
        <v>122.99999999999979</v>
      </c>
      <c r="N136">
        <f>products_final_scores_scenarios[[#This Row],[rating_smoothed]]*products_final_scores_scenarios[[#This Row],[reviews_count]]</f>
        <v>126.27965281015736</v>
      </c>
      <c r="O136">
        <f>products_final_scores_scenarios[[#This Row],[final_score__balanced]]*products_final_scores_scenarios[[#This Row],[reviews_count]]</f>
        <v>112.06228868922221</v>
      </c>
    </row>
    <row r="137" spans="1:15" x14ac:dyDescent="0.3">
      <c r="A137" s="2" t="s">
        <v>174</v>
      </c>
      <c r="B137" s="2" t="s">
        <v>175</v>
      </c>
      <c r="C137" s="2">
        <v>4</v>
      </c>
      <c r="D137" s="2" t="s">
        <v>22</v>
      </c>
      <c r="E137" s="2">
        <v>15</v>
      </c>
      <c r="F137" s="2">
        <v>4.2</v>
      </c>
      <c r="G137" s="2">
        <v>4.4008488473039398</v>
      </c>
      <c r="H137" s="2">
        <v>4.4008488473039398</v>
      </c>
      <c r="I137" s="2">
        <v>4.3312609717915302</v>
      </c>
      <c r="J137" s="2">
        <v>4.2199654781621803</v>
      </c>
      <c r="K137" s="2">
        <v>3.9351685749021401</v>
      </c>
      <c r="L137" s="2">
        <v>3.6145626869742999</v>
      </c>
      <c r="M137">
        <f>products_final_scores_scenarios[[#This Row],[rating_raw]]*products_final_scores_scenarios[[#This Row],[reviews_count]]</f>
        <v>63</v>
      </c>
      <c r="N137">
        <f>products_final_scores_scenarios[[#This Row],[rating_smoothed]]*products_final_scores_scenarios[[#This Row],[reviews_count]]</f>
        <v>66.012732709559103</v>
      </c>
      <c r="O137">
        <f>products_final_scores_scenarios[[#This Row],[final_score__balanced]]*products_final_scores_scenarios[[#This Row],[reviews_count]]</f>
        <v>63.299482172432704</v>
      </c>
    </row>
    <row r="138" spans="1:15" x14ac:dyDescent="0.3">
      <c r="A138" s="2" t="s">
        <v>176</v>
      </c>
      <c r="B138" s="2" t="s">
        <v>177</v>
      </c>
      <c r="C138" s="2">
        <v>314</v>
      </c>
      <c r="D138" s="2" t="s">
        <v>41</v>
      </c>
      <c r="E138" s="2">
        <v>1</v>
      </c>
      <c r="F138" s="2">
        <v>5</v>
      </c>
      <c r="G138" s="2">
        <v>4.5008932663617403</v>
      </c>
      <c r="H138" s="2">
        <v>4.5008932663617403</v>
      </c>
      <c r="I138" s="2">
        <v>4.5008932663617403</v>
      </c>
      <c r="J138" s="2">
        <v>4.5008932663617403</v>
      </c>
      <c r="K138" s="2">
        <v>4.5008932663617403</v>
      </c>
      <c r="L138" s="2">
        <v>4.5008932663617403</v>
      </c>
      <c r="M138">
        <f>products_final_scores_scenarios[[#This Row],[rating_raw]]*products_final_scores_scenarios[[#This Row],[reviews_count]]</f>
        <v>5</v>
      </c>
      <c r="N138">
        <f>products_final_scores_scenarios[[#This Row],[rating_smoothed]]*products_final_scores_scenarios[[#This Row],[reviews_count]]</f>
        <v>4.5008932663617403</v>
      </c>
      <c r="O138">
        <f>products_final_scores_scenarios[[#This Row],[final_score__balanced]]*products_final_scores_scenarios[[#This Row],[reviews_count]]</f>
        <v>4.5008932663617403</v>
      </c>
    </row>
    <row r="139" spans="1:15" x14ac:dyDescent="0.3">
      <c r="A139" s="2" t="s">
        <v>178</v>
      </c>
      <c r="B139" s="2" t="s">
        <v>177</v>
      </c>
      <c r="C139" s="2">
        <v>314</v>
      </c>
      <c r="D139" s="2" t="s">
        <v>41</v>
      </c>
      <c r="E139" s="2">
        <v>70</v>
      </c>
      <c r="F139" s="2">
        <v>4.4285714285714199</v>
      </c>
      <c r="G139" s="2">
        <v>4.4390973177066204</v>
      </c>
      <c r="H139" s="2">
        <v>4.4390973177066204</v>
      </c>
      <c r="I139" s="2">
        <v>4.2911921472331001</v>
      </c>
      <c r="J139" s="2">
        <v>4.0600742272703698</v>
      </c>
      <c r="K139" s="2">
        <v>3.5565107927250001</v>
      </c>
      <c r="L139" s="2">
        <v>2.9955811699602002</v>
      </c>
      <c r="M139">
        <f>products_final_scores_scenarios[[#This Row],[rating_raw]]*products_final_scores_scenarios[[#This Row],[reviews_count]]</f>
        <v>309.99999999999937</v>
      </c>
      <c r="N139">
        <f>products_final_scores_scenarios[[#This Row],[rating_smoothed]]*products_final_scores_scenarios[[#This Row],[reviews_count]]</f>
        <v>310.7368122394634</v>
      </c>
      <c r="O139">
        <f>products_final_scores_scenarios[[#This Row],[final_score__balanced]]*products_final_scores_scenarios[[#This Row],[reviews_count]]</f>
        <v>284.20519590892587</v>
      </c>
    </row>
    <row r="140" spans="1:15" x14ac:dyDescent="0.3">
      <c r="A140" s="2" t="s">
        <v>179</v>
      </c>
      <c r="B140" s="2" t="s">
        <v>177</v>
      </c>
      <c r="C140" s="2">
        <v>314</v>
      </c>
      <c r="D140" s="2" t="s">
        <v>41</v>
      </c>
      <c r="E140" s="2">
        <v>18</v>
      </c>
      <c r="F140" s="2">
        <v>3.1111111111111098</v>
      </c>
      <c r="G140" s="2">
        <v>3.8294410156209602</v>
      </c>
      <c r="H140" s="2">
        <v>3.8294410156209602</v>
      </c>
      <c r="I140" s="2">
        <v>3.6599556447491399</v>
      </c>
      <c r="J140" s="2">
        <v>3.40496973249271</v>
      </c>
      <c r="K140" s="2">
        <v>2.8767802605229198</v>
      </c>
      <c r="L140" s="2">
        <v>2.30267030376395</v>
      </c>
      <c r="M140">
        <f>products_final_scores_scenarios[[#This Row],[rating_raw]]*products_final_scores_scenarios[[#This Row],[reviews_count]]</f>
        <v>55.999999999999979</v>
      </c>
      <c r="N140">
        <f>products_final_scores_scenarios[[#This Row],[rating_smoothed]]*products_final_scores_scenarios[[#This Row],[reviews_count]]</f>
        <v>68.929938281177286</v>
      </c>
      <c r="O140">
        <f>products_final_scores_scenarios[[#This Row],[final_score__balanced]]*products_final_scores_scenarios[[#This Row],[reviews_count]]</f>
        <v>61.289455184868778</v>
      </c>
    </row>
    <row r="141" spans="1:15" x14ac:dyDescent="0.3">
      <c r="A141" s="2" t="s">
        <v>180</v>
      </c>
      <c r="B141" s="2" t="s">
        <v>181</v>
      </c>
      <c r="C141" s="2">
        <v>76</v>
      </c>
      <c r="D141" s="2" t="s">
        <v>14</v>
      </c>
      <c r="E141" s="2">
        <v>12</v>
      </c>
      <c r="F141" s="2">
        <v>4.9166666666666599</v>
      </c>
      <c r="G141" s="2">
        <v>4.6677833919156404</v>
      </c>
      <c r="H141" s="2">
        <v>4.6677833919156404</v>
      </c>
      <c r="I141" s="2">
        <v>4.5813889164430401</v>
      </c>
      <c r="J141" s="2">
        <v>4.4451882015214901</v>
      </c>
      <c r="K141" s="2">
        <v>4.1132054201650199</v>
      </c>
      <c r="L141" s="2">
        <v>3.9274931585411599</v>
      </c>
      <c r="M141">
        <f>products_final_scores_scenarios[[#This Row],[rating_raw]]*products_final_scores_scenarios[[#This Row],[reviews_count]]</f>
        <v>58.999999999999915</v>
      </c>
      <c r="N141">
        <f>products_final_scores_scenarios[[#This Row],[rating_smoothed]]*products_final_scores_scenarios[[#This Row],[reviews_count]]</f>
        <v>56.013400702987681</v>
      </c>
      <c r="O141">
        <f>products_final_scores_scenarios[[#This Row],[final_score__balanced]]*products_final_scores_scenarios[[#This Row],[reviews_count]]</f>
        <v>53.342258418257885</v>
      </c>
    </row>
    <row r="142" spans="1:15" x14ac:dyDescent="0.3">
      <c r="A142" s="2" t="s">
        <v>182</v>
      </c>
      <c r="B142" s="2" t="s">
        <v>183</v>
      </c>
      <c r="C142" s="2">
        <v>314</v>
      </c>
      <c r="D142" s="2" t="s">
        <v>41</v>
      </c>
      <c r="E142" s="2">
        <v>4</v>
      </c>
      <c r="F142" s="2">
        <v>3</v>
      </c>
      <c r="G142" s="2">
        <v>4.2299482747331796</v>
      </c>
      <c r="H142" s="2">
        <v>4.2299482747331796</v>
      </c>
      <c r="I142" s="2">
        <v>4.1334886631049201</v>
      </c>
      <c r="J142" s="2">
        <v>4.0002086037337801</v>
      </c>
      <c r="K142" s="2">
        <v>3.7582241966318701</v>
      </c>
      <c r="L142" s="2">
        <v>3.7491156635263301</v>
      </c>
      <c r="M142">
        <f>products_final_scores_scenarios[[#This Row],[rating_raw]]*products_final_scores_scenarios[[#This Row],[reviews_count]]</f>
        <v>12</v>
      </c>
      <c r="N142">
        <f>products_final_scores_scenarios[[#This Row],[rating_smoothed]]*products_final_scores_scenarios[[#This Row],[reviews_count]]</f>
        <v>16.919793098932718</v>
      </c>
      <c r="O142">
        <f>products_final_scores_scenarios[[#This Row],[final_score__balanced]]*products_final_scores_scenarios[[#This Row],[reviews_count]]</f>
        <v>16.00083441493512</v>
      </c>
    </row>
    <row r="143" spans="1:15" x14ac:dyDescent="0.3">
      <c r="A143" s="2" t="s">
        <v>184</v>
      </c>
      <c r="B143" s="2" t="s">
        <v>185</v>
      </c>
      <c r="C143" s="2">
        <v>314</v>
      </c>
      <c r="D143" s="2" t="s">
        <v>41</v>
      </c>
      <c r="E143" s="2">
        <v>140</v>
      </c>
      <c r="F143" s="2">
        <v>4.7</v>
      </c>
      <c r="G143" s="2">
        <v>4.6719922412099697</v>
      </c>
      <c r="H143" s="2">
        <v>4.6719922412099697</v>
      </c>
      <c r="I143" s="2">
        <v>4.6038935248885702</v>
      </c>
      <c r="J143" s="2">
        <v>4.4926045908789796</v>
      </c>
      <c r="K143" s="2">
        <v>4.2028029389742798</v>
      </c>
      <c r="L143" s="2">
        <v>3.8708475790675498</v>
      </c>
      <c r="M143">
        <f>products_final_scores_scenarios[[#This Row],[rating_raw]]*products_final_scores_scenarios[[#This Row],[reviews_count]]</f>
        <v>658</v>
      </c>
      <c r="N143">
        <f>products_final_scores_scenarios[[#This Row],[rating_smoothed]]*products_final_scores_scenarios[[#This Row],[reviews_count]]</f>
        <v>654.07891376939574</v>
      </c>
      <c r="O143">
        <f>products_final_scores_scenarios[[#This Row],[final_score__balanced]]*products_final_scores_scenarios[[#This Row],[reviews_count]]</f>
        <v>628.96464272305718</v>
      </c>
    </row>
    <row r="144" spans="1:15" x14ac:dyDescent="0.3">
      <c r="A144" s="2" t="s">
        <v>186</v>
      </c>
      <c r="B144" s="2" t="s">
        <v>185</v>
      </c>
      <c r="C144" s="2">
        <v>314</v>
      </c>
      <c r="D144" s="2" t="s">
        <v>41</v>
      </c>
      <c r="E144" s="2">
        <v>140</v>
      </c>
      <c r="F144" s="2">
        <v>4.7</v>
      </c>
      <c r="G144" s="2">
        <v>4.6719922412099697</v>
      </c>
      <c r="H144" s="2">
        <v>4.6719922412099697</v>
      </c>
      <c r="I144" s="2">
        <v>4.6038935248885702</v>
      </c>
      <c r="J144" s="2">
        <v>4.4926045908789796</v>
      </c>
      <c r="K144" s="2">
        <v>4.2028029389742798</v>
      </c>
      <c r="L144" s="2">
        <v>3.8708475790675498</v>
      </c>
      <c r="M144">
        <f>products_final_scores_scenarios[[#This Row],[rating_raw]]*products_final_scores_scenarios[[#This Row],[reviews_count]]</f>
        <v>658</v>
      </c>
      <c r="N144">
        <f>products_final_scores_scenarios[[#This Row],[rating_smoothed]]*products_final_scores_scenarios[[#This Row],[reviews_count]]</f>
        <v>654.07891376939574</v>
      </c>
      <c r="O144">
        <f>products_final_scores_scenarios[[#This Row],[final_score__balanced]]*products_final_scores_scenarios[[#This Row],[reviews_count]]</f>
        <v>628.96464272305718</v>
      </c>
    </row>
    <row r="145" spans="1:15" x14ac:dyDescent="0.3">
      <c r="A145" s="2" t="s">
        <v>187</v>
      </c>
      <c r="B145" s="2" t="s">
        <v>185</v>
      </c>
      <c r="C145" s="2">
        <v>314</v>
      </c>
      <c r="D145" s="2" t="s">
        <v>41</v>
      </c>
      <c r="E145" s="2">
        <v>18</v>
      </c>
      <c r="F145" s="2">
        <v>4.7777777777777697</v>
      </c>
      <c r="G145" s="2">
        <v>4.6189146998314801</v>
      </c>
      <c r="H145" s="2">
        <v>4.6189146998314801</v>
      </c>
      <c r="I145" s="2">
        <v>4.5041188415362301</v>
      </c>
      <c r="J145" s="2">
        <v>4.3253727655356498</v>
      </c>
      <c r="K145" s="2">
        <v>3.9159159047548902</v>
      </c>
      <c r="L145" s="2">
        <v>3.46135470988906</v>
      </c>
      <c r="M145">
        <f>products_final_scores_scenarios[[#This Row],[rating_raw]]*products_final_scores_scenarios[[#This Row],[reviews_count]]</f>
        <v>85.999999999999858</v>
      </c>
      <c r="N145">
        <f>products_final_scores_scenarios[[#This Row],[rating_smoothed]]*products_final_scores_scenarios[[#This Row],[reviews_count]]</f>
        <v>83.140464596966638</v>
      </c>
      <c r="O145">
        <f>products_final_scores_scenarios[[#This Row],[final_score__balanced]]*products_final_scores_scenarios[[#This Row],[reviews_count]]</f>
        <v>77.85670977964169</v>
      </c>
    </row>
    <row r="146" spans="1:15" x14ac:dyDescent="0.3">
      <c r="A146" s="2" t="s">
        <v>188</v>
      </c>
      <c r="B146" s="2" t="s">
        <v>185</v>
      </c>
      <c r="C146" s="2">
        <v>314</v>
      </c>
      <c r="D146" s="2" t="s">
        <v>41</v>
      </c>
      <c r="E146" s="2">
        <v>36</v>
      </c>
      <c r="F146" s="2">
        <v>4.8333333333333304</v>
      </c>
      <c r="G146" s="2">
        <v>4.7056921177427897</v>
      </c>
      <c r="H146" s="2">
        <v>4.7056921177427897</v>
      </c>
      <c r="I146" s="2">
        <v>4.6751981483514404</v>
      </c>
      <c r="J146" s="2">
        <v>4.6220638542826604</v>
      </c>
      <c r="K146" s="2">
        <v>4.4570687439410603</v>
      </c>
      <c r="L146" s="2">
        <v>4.2604767369956997</v>
      </c>
      <c r="M146">
        <f>products_final_scores_scenarios[[#This Row],[rating_raw]]*products_final_scores_scenarios[[#This Row],[reviews_count]]</f>
        <v>173.99999999999989</v>
      </c>
      <c r="N146">
        <f>products_final_scores_scenarios[[#This Row],[rating_smoothed]]*products_final_scores_scenarios[[#This Row],[reviews_count]]</f>
        <v>169.40491623874044</v>
      </c>
      <c r="O146">
        <f>products_final_scores_scenarios[[#This Row],[final_score__balanced]]*products_final_scores_scenarios[[#This Row],[reviews_count]]</f>
        <v>166.39429875417576</v>
      </c>
    </row>
    <row r="147" spans="1:15" x14ac:dyDescent="0.3">
      <c r="A147" s="2" t="s">
        <v>189</v>
      </c>
      <c r="B147" s="2" t="s">
        <v>185</v>
      </c>
      <c r="C147" s="2">
        <v>314</v>
      </c>
      <c r="D147" s="2" t="s">
        <v>41</v>
      </c>
      <c r="E147" s="2">
        <v>34</v>
      </c>
      <c r="F147" s="2">
        <v>4.5882352941176396</v>
      </c>
      <c r="G147" s="2">
        <v>4.5466436776591896</v>
      </c>
      <c r="H147" s="2">
        <v>4.5466436776591896</v>
      </c>
      <c r="I147" s="2">
        <v>4.4850776989159797</v>
      </c>
      <c r="J147" s="2">
        <v>4.3817625520794703</v>
      </c>
      <c r="K147" s="2">
        <v>4.1047512512552498</v>
      </c>
      <c r="L147" s="2">
        <v>3.7809529357582199</v>
      </c>
      <c r="M147">
        <f>products_final_scores_scenarios[[#This Row],[rating_raw]]*products_final_scores_scenarios[[#This Row],[reviews_count]]</f>
        <v>155.99999999999974</v>
      </c>
      <c r="N147">
        <f>products_final_scores_scenarios[[#This Row],[rating_smoothed]]*products_final_scores_scenarios[[#This Row],[reviews_count]]</f>
        <v>154.58588504041245</v>
      </c>
      <c r="O147">
        <f>products_final_scores_scenarios[[#This Row],[final_score__balanced]]*products_final_scores_scenarios[[#This Row],[reviews_count]]</f>
        <v>148.97992677070198</v>
      </c>
    </row>
    <row r="148" spans="1:15" x14ac:dyDescent="0.3">
      <c r="A148" s="2" t="s">
        <v>190</v>
      </c>
      <c r="B148" s="2" t="s">
        <v>185</v>
      </c>
      <c r="C148" s="2">
        <v>314</v>
      </c>
      <c r="D148" s="2" t="s">
        <v>41</v>
      </c>
      <c r="E148" s="2">
        <v>34</v>
      </c>
      <c r="F148" s="2">
        <v>4.5882352941176396</v>
      </c>
      <c r="G148" s="2">
        <v>4.5466436776591896</v>
      </c>
      <c r="H148" s="2">
        <v>4.5466436776591896</v>
      </c>
      <c r="I148" s="2">
        <v>4.4850776989159797</v>
      </c>
      <c r="J148" s="2">
        <v>4.3817625520794703</v>
      </c>
      <c r="K148" s="2">
        <v>4.1047512512552498</v>
      </c>
      <c r="L148" s="2">
        <v>3.7809529357582199</v>
      </c>
      <c r="M148">
        <f>products_final_scores_scenarios[[#This Row],[rating_raw]]*products_final_scores_scenarios[[#This Row],[reviews_count]]</f>
        <v>155.99999999999974</v>
      </c>
      <c r="N148">
        <f>products_final_scores_scenarios[[#This Row],[rating_smoothed]]*products_final_scores_scenarios[[#This Row],[reviews_count]]</f>
        <v>154.58588504041245</v>
      </c>
      <c r="O148">
        <f>products_final_scores_scenarios[[#This Row],[final_score__balanced]]*products_final_scores_scenarios[[#This Row],[reviews_count]]</f>
        <v>148.97992677070198</v>
      </c>
    </row>
    <row r="149" spans="1:15" x14ac:dyDescent="0.3">
      <c r="A149" s="2" t="s">
        <v>191</v>
      </c>
      <c r="B149" s="2" t="s">
        <v>185</v>
      </c>
      <c r="C149" s="2">
        <v>314</v>
      </c>
      <c r="D149" s="2" t="s">
        <v>41</v>
      </c>
      <c r="E149" s="2">
        <v>1</v>
      </c>
      <c r="F149" s="2">
        <v>5</v>
      </c>
      <c r="G149" s="2">
        <v>4.5008932663617403</v>
      </c>
      <c r="H149" s="2">
        <v>4.5008932663617403</v>
      </c>
      <c r="I149" s="2">
        <v>4.5008932663617403</v>
      </c>
      <c r="J149" s="2">
        <v>4.5008932663617403</v>
      </c>
      <c r="K149" s="2">
        <v>4.5008932663617403</v>
      </c>
      <c r="L149" s="2">
        <v>4.5008932663617403</v>
      </c>
      <c r="M149">
        <f>products_final_scores_scenarios[[#This Row],[rating_raw]]*products_final_scores_scenarios[[#This Row],[reviews_count]]</f>
        <v>5</v>
      </c>
      <c r="N149">
        <f>products_final_scores_scenarios[[#This Row],[rating_smoothed]]*products_final_scores_scenarios[[#This Row],[reviews_count]]</f>
        <v>4.5008932663617403</v>
      </c>
      <c r="O149">
        <f>products_final_scores_scenarios[[#This Row],[final_score__balanced]]*products_final_scores_scenarios[[#This Row],[reviews_count]]</f>
        <v>4.5008932663617403</v>
      </c>
    </row>
    <row r="150" spans="1:15" x14ac:dyDescent="0.3">
      <c r="A150" s="2" t="s">
        <v>192</v>
      </c>
      <c r="B150" s="2" t="s">
        <v>185</v>
      </c>
      <c r="C150" s="2">
        <v>314</v>
      </c>
      <c r="D150" s="2" t="s">
        <v>41</v>
      </c>
      <c r="E150" s="2">
        <v>70</v>
      </c>
      <c r="F150" s="2">
        <v>4.6285714285714201</v>
      </c>
      <c r="G150" s="2">
        <v>4.5946528732621799</v>
      </c>
      <c r="H150" s="2">
        <v>4.5946528732621799</v>
      </c>
      <c r="I150" s="2">
        <v>4.4845313894310399</v>
      </c>
      <c r="J150" s="2">
        <v>4.31922992926064</v>
      </c>
      <c r="K150" s="2">
        <v>3.9494178798375201</v>
      </c>
      <c r="L150" s="2">
        <v>3.5500133117356798</v>
      </c>
      <c r="M150">
        <f>products_final_scores_scenarios[[#This Row],[rating_raw]]*products_final_scores_scenarios[[#This Row],[reviews_count]]</f>
        <v>323.99999999999943</v>
      </c>
      <c r="N150">
        <f>products_final_scores_scenarios[[#This Row],[rating_smoothed]]*products_final_scores_scenarios[[#This Row],[reviews_count]]</f>
        <v>321.6257011283526</v>
      </c>
      <c r="O150">
        <f>products_final_scores_scenarios[[#This Row],[final_score__balanced]]*products_final_scores_scenarios[[#This Row],[reviews_count]]</f>
        <v>302.34609504824482</v>
      </c>
    </row>
    <row r="151" spans="1:15" x14ac:dyDescent="0.3">
      <c r="A151" s="2" t="s">
        <v>193</v>
      </c>
      <c r="B151" s="2" t="s">
        <v>185</v>
      </c>
      <c r="C151" s="2">
        <v>314</v>
      </c>
      <c r="D151" s="2" t="s">
        <v>41</v>
      </c>
      <c r="E151" s="2">
        <v>35</v>
      </c>
      <c r="F151" s="2">
        <v>4.6285714285714201</v>
      </c>
      <c r="G151" s="2">
        <v>4.57306833806539</v>
      </c>
      <c r="H151" s="2">
        <v>4.57306833806539</v>
      </c>
      <c r="I151" s="2">
        <v>4.4629468542342501</v>
      </c>
      <c r="J151" s="2">
        <v>4.2976453940638502</v>
      </c>
      <c r="K151" s="2">
        <v>3.9278333446407299</v>
      </c>
      <c r="L151" s="2">
        <v>3.52842877653889</v>
      </c>
      <c r="M151">
        <f>products_final_scores_scenarios[[#This Row],[rating_raw]]*products_final_scores_scenarios[[#This Row],[reviews_count]]</f>
        <v>161.99999999999972</v>
      </c>
      <c r="N151">
        <f>products_final_scores_scenarios[[#This Row],[rating_smoothed]]*products_final_scores_scenarios[[#This Row],[reviews_count]]</f>
        <v>160.05739183228866</v>
      </c>
      <c r="O151">
        <f>products_final_scores_scenarios[[#This Row],[final_score__balanced]]*products_final_scores_scenarios[[#This Row],[reviews_count]]</f>
        <v>150.41758879223477</v>
      </c>
    </row>
    <row r="152" spans="1:15" x14ac:dyDescent="0.3">
      <c r="A152" s="2" t="s">
        <v>194</v>
      </c>
      <c r="B152" s="2" t="s">
        <v>185</v>
      </c>
      <c r="C152" s="2">
        <v>314</v>
      </c>
      <c r="D152" s="2" t="s">
        <v>41</v>
      </c>
      <c r="E152" s="2">
        <v>48</v>
      </c>
      <c r="F152" s="2">
        <v>4.4166666666666599</v>
      </c>
      <c r="G152" s="2">
        <v>4.4340993910822997</v>
      </c>
      <c r="H152" s="2">
        <v>4.4340993910822997</v>
      </c>
      <c r="I152" s="2">
        <v>4.35102778005096</v>
      </c>
      <c r="J152" s="2">
        <v>4.2274038571448704</v>
      </c>
      <c r="K152" s="2">
        <v>3.9349792165067399</v>
      </c>
      <c r="L152" s="2">
        <v>3.62440694832897</v>
      </c>
      <c r="M152">
        <f>products_final_scores_scenarios[[#This Row],[rating_raw]]*products_final_scores_scenarios[[#This Row],[reviews_count]]</f>
        <v>211.99999999999966</v>
      </c>
      <c r="N152">
        <f>products_final_scores_scenarios[[#This Row],[rating_smoothed]]*products_final_scores_scenarios[[#This Row],[reviews_count]]</f>
        <v>212.8367707719504</v>
      </c>
      <c r="O152">
        <f>products_final_scores_scenarios[[#This Row],[final_score__balanced]]*products_final_scores_scenarios[[#This Row],[reviews_count]]</f>
        <v>202.91538514295377</v>
      </c>
    </row>
    <row r="153" spans="1:15" x14ac:dyDescent="0.3">
      <c r="A153" s="2" t="s">
        <v>195</v>
      </c>
      <c r="B153" s="2" t="s">
        <v>185</v>
      </c>
      <c r="C153" s="2">
        <v>314</v>
      </c>
      <c r="D153" s="2" t="s">
        <v>41</v>
      </c>
      <c r="E153" s="2">
        <v>24</v>
      </c>
      <c r="F153" s="2">
        <v>4.3333333333333304</v>
      </c>
      <c r="G153" s="2">
        <v>4.3981536043999201</v>
      </c>
      <c r="H153" s="2">
        <v>4.3981536043999201</v>
      </c>
      <c r="I153" s="2">
        <v>4.3536922765207704</v>
      </c>
      <c r="J153" s="2">
        <v>4.2774405794197499</v>
      </c>
      <c r="K153" s="2">
        <v>4.0578043186536998</v>
      </c>
      <c r="L153" s="2">
        <v>3.7974988321570602</v>
      </c>
      <c r="M153">
        <f>products_final_scores_scenarios[[#This Row],[rating_raw]]*products_final_scores_scenarios[[#This Row],[reviews_count]]</f>
        <v>103.99999999999993</v>
      </c>
      <c r="N153">
        <f>products_final_scores_scenarios[[#This Row],[rating_smoothed]]*products_final_scores_scenarios[[#This Row],[reviews_count]]</f>
        <v>105.55568650559809</v>
      </c>
      <c r="O153">
        <f>products_final_scores_scenarios[[#This Row],[final_score__balanced]]*products_final_scores_scenarios[[#This Row],[reviews_count]]</f>
        <v>102.658573906074</v>
      </c>
    </row>
    <row r="154" spans="1:15" x14ac:dyDescent="0.3">
      <c r="A154" s="2" t="s">
        <v>196</v>
      </c>
      <c r="B154" s="2" t="s">
        <v>185</v>
      </c>
      <c r="C154" s="2">
        <v>314</v>
      </c>
      <c r="D154" s="2" t="s">
        <v>41</v>
      </c>
      <c r="E154" s="2">
        <v>6</v>
      </c>
      <c r="F154" s="2">
        <v>4.8333333333333304</v>
      </c>
      <c r="G154" s="2">
        <v>4.5584137920614003</v>
      </c>
      <c r="H154" s="2">
        <v>4.5584137920614003</v>
      </c>
      <c r="I154" s="2">
        <v>4.50657710677784</v>
      </c>
      <c r="J154" s="2">
        <v>4.4248566778249101</v>
      </c>
      <c r="K154" s="2">
        <v>4.2256670090110298</v>
      </c>
      <c r="L154" s="2">
        <v>4.1882686753741698</v>
      </c>
      <c r="M154">
        <f>products_final_scores_scenarios[[#This Row],[rating_raw]]*products_final_scores_scenarios[[#This Row],[reviews_count]]</f>
        <v>28.999999999999982</v>
      </c>
      <c r="N154">
        <f>products_final_scores_scenarios[[#This Row],[rating_smoothed]]*products_final_scores_scenarios[[#This Row],[reviews_count]]</f>
        <v>27.3504827523684</v>
      </c>
      <c r="O154">
        <f>products_final_scores_scenarios[[#This Row],[final_score__balanced]]*products_final_scores_scenarios[[#This Row],[reviews_count]]</f>
        <v>26.549140066949462</v>
      </c>
    </row>
    <row r="155" spans="1:15" x14ac:dyDescent="0.3">
      <c r="A155" s="2" t="s">
        <v>197</v>
      </c>
      <c r="B155" s="2" t="s">
        <v>198</v>
      </c>
      <c r="C155" s="2">
        <v>314</v>
      </c>
      <c r="D155" s="2" t="s">
        <v>41</v>
      </c>
      <c r="E155" s="2">
        <v>29</v>
      </c>
      <c r="F155" s="2">
        <v>3.72413793103448</v>
      </c>
      <c r="G155" s="2">
        <v>4.0309950733387003</v>
      </c>
      <c r="H155" s="2">
        <v>4.0309950733387003</v>
      </c>
      <c r="I155" s="2">
        <v>3.9198287302280601</v>
      </c>
      <c r="J155" s="2">
        <v>3.7661610672479302</v>
      </c>
      <c r="K155" s="2">
        <v>3.4406915281950599</v>
      </c>
      <c r="L155" s="2">
        <v>3.1133496185002199</v>
      </c>
      <c r="M155">
        <f>products_final_scores_scenarios[[#This Row],[rating_raw]]*products_final_scores_scenarios[[#This Row],[reviews_count]]</f>
        <v>107.99999999999991</v>
      </c>
      <c r="N155">
        <f>products_final_scores_scenarios[[#This Row],[rating_smoothed]]*products_final_scores_scenarios[[#This Row],[reviews_count]]</f>
        <v>116.89885712682231</v>
      </c>
      <c r="O155">
        <f>products_final_scores_scenarios[[#This Row],[final_score__balanced]]*products_final_scores_scenarios[[#This Row],[reviews_count]]</f>
        <v>109.21867095018997</v>
      </c>
    </row>
    <row r="156" spans="1:15" x14ac:dyDescent="0.3">
      <c r="A156" s="2" t="s">
        <v>199</v>
      </c>
      <c r="B156" s="2" t="s">
        <v>198</v>
      </c>
      <c r="C156" s="2">
        <v>314</v>
      </c>
      <c r="D156" s="2" t="s">
        <v>41</v>
      </c>
      <c r="E156" s="2">
        <v>26</v>
      </c>
      <c r="F156" s="2">
        <v>4.2307692307692299</v>
      </c>
      <c r="G156" s="2">
        <v>4.3373643172520904</v>
      </c>
      <c r="H156" s="2">
        <v>4.3373643172520904</v>
      </c>
      <c r="I156" s="2">
        <v>4.1935654772681499</v>
      </c>
      <c r="J156" s="2">
        <v>4.0018060202918697</v>
      </c>
      <c r="K156" s="2">
        <v>3.6224763526089401</v>
      </c>
      <c r="L156" s="2">
        <v>3.24929854773338</v>
      </c>
      <c r="M156">
        <f>products_final_scores_scenarios[[#This Row],[rating_raw]]*products_final_scores_scenarios[[#This Row],[reviews_count]]</f>
        <v>109.99999999999997</v>
      </c>
      <c r="N156">
        <f>products_final_scores_scenarios[[#This Row],[rating_smoothed]]*products_final_scores_scenarios[[#This Row],[reviews_count]]</f>
        <v>112.77147224855435</v>
      </c>
      <c r="O156">
        <f>products_final_scores_scenarios[[#This Row],[final_score__balanced]]*products_final_scores_scenarios[[#This Row],[reviews_count]]</f>
        <v>104.04695652758861</v>
      </c>
    </row>
    <row r="157" spans="1:15" x14ac:dyDescent="0.3">
      <c r="A157" s="2" t="s">
        <v>200</v>
      </c>
      <c r="B157" s="2" t="s">
        <v>198</v>
      </c>
      <c r="C157" s="2">
        <v>314</v>
      </c>
      <c r="D157" s="2" t="s">
        <v>41</v>
      </c>
      <c r="E157" s="2">
        <v>93</v>
      </c>
      <c r="F157" s="2">
        <v>3.8602150537634401</v>
      </c>
      <c r="G157" s="2">
        <v>3.9691925539256299</v>
      </c>
      <c r="H157" s="2">
        <v>3.9691925539256299</v>
      </c>
      <c r="I157" s="2">
        <v>3.8784272725275701</v>
      </c>
      <c r="J157" s="2">
        <v>3.7409969565241199</v>
      </c>
      <c r="K157" s="2">
        <v>3.4185102613937799</v>
      </c>
      <c r="L157" s="2">
        <v>3.0695438337038499</v>
      </c>
      <c r="M157">
        <f>products_final_scores_scenarios[[#This Row],[rating_raw]]*products_final_scores_scenarios[[#This Row],[reviews_count]]</f>
        <v>358.99999999999994</v>
      </c>
      <c r="N157">
        <f>products_final_scores_scenarios[[#This Row],[rating_smoothed]]*products_final_scores_scenarios[[#This Row],[reviews_count]]</f>
        <v>369.13490751508357</v>
      </c>
      <c r="O157">
        <f>products_final_scores_scenarios[[#This Row],[final_score__balanced]]*products_final_scores_scenarios[[#This Row],[reviews_count]]</f>
        <v>347.91271695674317</v>
      </c>
    </row>
    <row r="158" spans="1:15" x14ac:dyDescent="0.3">
      <c r="A158" s="2" t="s">
        <v>201</v>
      </c>
      <c r="B158" s="2" t="s">
        <v>198</v>
      </c>
      <c r="C158" s="2">
        <v>314</v>
      </c>
      <c r="D158" s="2" t="s">
        <v>41</v>
      </c>
      <c r="E158" s="2">
        <v>22</v>
      </c>
      <c r="F158" s="2">
        <v>3.4545454545454501</v>
      </c>
      <c r="G158" s="2">
        <v>3.9409228236570599</v>
      </c>
      <c r="H158" s="2">
        <v>3.9409228236570599</v>
      </c>
      <c r="I158" s="2">
        <v>3.7653533012408902</v>
      </c>
      <c r="J158" s="2">
        <v>3.5200271137797499</v>
      </c>
      <c r="K158" s="2">
        <v>3.0391874918759698</v>
      </c>
      <c r="L158" s="2">
        <v>2.5430065897056102</v>
      </c>
      <c r="M158">
        <f>products_final_scores_scenarios[[#This Row],[rating_raw]]*products_final_scores_scenarios[[#This Row],[reviews_count]]</f>
        <v>75.999999999999901</v>
      </c>
      <c r="N158">
        <f>products_final_scores_scenarios[[#This Row],[rating_smoothed]]*products_final_scores_scenarios[[#This Row],[reviews_count]]</f>
        <v>86.700302120455319</v>
      </c>
      <c r="O158">
        <f>products_final_scores_scenarios[[#This Row],[final_score__balanced]]*products_final_scores_scenarios[[#This Row],[reviews_count]]</f>
        <v>77.440596503154495</v>
      </c>
    </row>
    <row r="159" spans="1:15" x14ac:dyDescent="0.3">
      <c r="A159" s="2" t="s">
        <v>202</v>
      </c>
      <c r="B159" s="2" t="s">
        <v>198</v>
      </c>
      <c r="C159" s="2">
        <v>314</v>
      </c>
      <c r="D159" s="2" t="s">
        <v>41</v>
      </c>
      <c r="E159" s="2">
        <v>2</v>
      </c>
      <c r="F159" s="2">
        <v>4</v>
      </c>
      <c r="G159" s="2">
        <v>4.4326708451634698</v>
      </c>
      <c r="H159" s="2">
        <v>4.4326708451634698</v>
      </c>
      <c r="I159" s="2">
        <v>4.4326708451634698</v>
      </c>
      <c r="J159" s="2">
        <v>4.4326708451634698</v>
      </c>
      <c r="K159" s="2">
        <v>4.4326708451634698</v>
      </c>
      <c r="L159" s="2">
        <v>4.4326708451634698</v>
      </c>
      <c r="M159">
        <f>products_final_scores_scenarios[[#This Row],[rating_raw]]*products_final_scores_scenarios[[#This Row],[reviews_count]]</f>
        <v>8</v>
      </c>
      <c r="N159">
        <f>products_final_scores_scenarios[[#This Row],[rating_smoothed]]*products_final_scores_scenarios[[#This Row],[reviews_count]]</f>
        <v>8.8653416903269395</v>
      </c>
      <c r="O159">
        <f>products_final_scores_scenarios[[#This Row],[final_score__balanced]]*products_final_scores_scenarios[[#This Row],[reviews_count]]</f>
        <v>8.8653416903269395</v>
      </c>
    </row>
    <row r="160" spans="1:15" x14ac:dyDescent="0.3">
      <c r="A160" s="2" t="s">
        <v>203</v>
      </c>
      <c r="B160" s="2" t="s">
        <v>198</v>
      </c>
      <c r="C160" s="2">
        <v>314</v>
      </c>
      <c r="D160" s="2" t="s">
        <v>41</v>
      </c>
      <c r="E160" s="2">
        <v>64</v>
      </c>
      <c r="F160" s="2">
        <v>3.875</v>
      </c>
      <c r="G160" s="2">
        <v>4.0180804594475701</v>
      </c>
      <c r="H160" s="2">
        <v>4.0180804594475701</v>
      </c>
      <c r="I160" s="2">
        <v>3.9022172501215899</v>
      </c>
      <c r="J160" s="2">
        <v>3.72897194646972</v>
      </c>
      <c r="K160" s="2">
        <v>3.3440700479007401</v>
      </c>
      <c r="L160" s="2">
        <v>2.9294421413146998</v>
      </c>
      <c r="M160">
        <f>products_final_scores_scenarios[[#This Row],[rating_raw]]*products_final_scores_scenarios[[#This Row],[reviews_count]]</f>
        <v>248</v>
      </c>
      <c r="N160">
        <f>products_final_scores_scenarios[[#This Row],[rating_smoothed]]*products_final_scores_scenarios[[#This Row],[reviews_count]]</f>
        <v>257.15714940464449</v>
      </c>
      <c r="O160">
        <f>products_final_scores_scenarios[[#This Row],[final_score__balanced]]*products_final_scores_scenarios[[#This Row],[reviews_count]]</f>
        <v>238.65420457406208</v>
      </c>
    </row>
    <row r="161" spans="1:15" x14ac:dyDescent="0.3">
      <c r="A161" s="2" t="s">
        <v>204</v>
      </c>
      <c r="B161" s="2" t="s">
        <v>198</v>
      </c>
      <c r="C161" s="2">
        <v>314</v>
      </c>
      <c r="D161" s="2" t="s">
        <v>41</v>
      </c>
      <c r="E161" s="2">
        <v>141</v>
      </c>
      <c r="F161" s="2">
        <v>3.95744680851063</v>
      </c>
      <c r="G161" s="2">
        <v>4.0218556434384798</v>
      </c>
      <c r="H161" s="2">
        <v>4.0218556434384798</v>
      </c>
      <c r="I161" s="2">
        <v>3.9215827192844901</v>
      </c>
      <c r="J161" s="2">
        <v>3.7781881714827201</v>
      </c>
      <c r="K161" s="2">
        <v>3.4610967269330901</v>
      </c>
      <c r="L161" s="2">
        <v>3.1335173927012998</v>
      </c>
      <c r="M161">
        <f>products_final_scores_scenarios[[#This Row],[rating_raw]]*products_final_scores_scenarios[[#This Row],[reviews_count]]</f>
        <v>557.99999999999886</v>
      </c>
      <c r="N161">
        <f>products_final_scores_scenarios[[#This Row],[rating_smoothed]]*products_final_scores_scenarios[[#This Row],[reviews_count]]</f>
        <v>567.08164572482565</v>
      </c>
      <c r="O161">
        <f>products_final_scores_scenarios[[#This Row],[final_score__balanced]]*products_final_scores_scenarios[[#This Row],[reviews_count]]</f>
        <v>532.72453217906354</v>
      </c>
    </row>
    <row r="162" spans="1:15" x14ac:dyDescent="0.3">
      <c r="A162" s="2" t="s">
        <v>205</v>
      </c>
      <c r="B162" s="2" t="s">
        <v>198</v>
      </c>
      <c r="C162" s="2">
        <v>314</v>
      </c>
      <c r="D162" s="2" t="s">
        <v>41</v>
      </c>
      <c r="E162" s="2">
        <v>15</v>
      </c>
      <c r="F162" s="2">
        <v>3.2666666666666599</v>
      </c>
      <c r="G162" s="2">
        <v>3.9576788169599002</v>
      </c>
      <c r="H162" s="2">
        <v>3.9576788169599002</v>
      </c>
      <c r="I162" s="2">
        <v>3.7706352796568199</v>
      </c>
      <c r="J162" s="2">
        <v>3.5220710222359601</v>
      </c>
      <c r="K162" s="2">
        <v>3.0574340756737901</v>
      </c>
      <c r="L162" s="2">
        <v>2.59579123798071</v>
      </c>
      <c r="M162">
        <f>products_final_scores_scenarios[[#This Row],[rating_raw]]*products_final_scores_scenarios[[#This Row],[reviews_count]]</f>
        <v>48.999999999999901</v>
      </c>
      <c r="N162">
        <f>products_final_scores_scenarios[[#This Row],[rating_smoothed]]*products_final_scores_scenarios[[#This Row],[reviews_count]]</f>
        <v>59.365182254398505</v>
      </c>
      <c r="O162">
        <f>products_final_scores_scenarios[[#This Row],[final_score__balanced]]*products_final_scores_scenarios[[#This Row],[reviews_count]]</f>
        <v>52.831065333539399</v>
      </c>
    </row>
    <row r="163" spans="1:15" x14ac:dyDescent="0.3">
      <c r="A163" s="2" t="s">
        <v>206</v>
      </c>
      <c r="B163" s="2" t="s">
        <v>198</v>
      </c>
      <c r="C163" s="2">
        <v>314</v>
      </c>
      <c r="D163" s="2" t="s">
        <v>41</v>
      </c>
      <c r="E163" s="2">
        <v>38</v>
      </c>
      <c r="F163" s="2">
        <v>2.8947368421052602</v>
      </c>
      <c r="G163" s="2">
        <v>3.4399785964413199</v>
      </c>
      <c r="H163" s="2">
        <v>3.4399785964413199</v>
      </c>
      <c r="I163" s="2">
        <v>3.3620185857277902</v>
      </c>
      <c r="J163" s="2">
        <v>3.2476426296971801</v>
      </c>
      <c r="K163" s="2">
        <v>2.9765698732572399</v>
      </c>
      <c r="L163" s="2">
        <v>2.69336062043255</v>
      </c>
      <c r="M163">
        <f>products_final_scores_scenarios[[#This Row],[rating_raw]]*products_final_scores_scenarios[[#This Row],[reviews_count]]</f>
        <v>109.99999999999989</v>
      </c>
      <c r="N163">
        <f>products_final_scores_scenarios[[#This Row],[rating_smoothed]]*products_final_scores_scenarios[[#This Row],[reviews_count]]</f>
        <v>130.71918666477015</v>
      </c>
      <c r="O163">
        <f>products_final_scores_scenarios[[#This Row],[final_score__balanced]]*products_final_scores_scenarios[[#This Row],[reviews_count]]</f>
        <v>123.41041992849284</v>
      </c>
    </row>
    <row r="164" spans="1:15" x14ac:dyDescent="0.3">
      <c r="A164" s="2" t="s">
        <v>207</v>
      </c>
      <c r="B164" s="2" t="s">
        <v>208</v>
      </c>
      <c r="C164" s="2">
        <v>314</v>
      </c>
      <c r="D164" s="2" t="s">
        <v>41</v>
      </c>
      <c r="E164" s="2">
        <v>16</v>
      </c>
      <c r="F164" s="2">
        <v>2.5</v>
      </c>
      <c r="G164" s="2">
        <v>3.5977432942665701</v>
      </c>
      <c r="H164" s="2">
        <v>3.5977432942665701</v>
      </c>
      <c r="I164" s="2">
        <v>3.5400333998910201</v>
      </c>
      <c r="J164" s="2">
        <v>3.45564486615622</v>
      </c>
      <c r="K164" s="2">
        <v>3.24774926422841</v>
      </c>
      <c r="L164" s="2">
        <v>3.03426757800854</v>
      </c>
      <c r="M164">
        <f>products_final_scores_scenarios[[#This Row],[rating_raw]]*products_final_scores_scenarios[[#This Row],[reviews_count]]</f>
        <v>40</v>
      </c>
      <c r="N164">
        <f>products_final_scores_scenarios[[#This Row],[rating_smoothed]]*products_final_scores_scenarios[[#This Row],[reviews_count]]</f>
        <v>57.563892708265122</v>
      </c>
      <c r="O164">
        <f>products_final_scores_scenarios[[#This Row],[final_score__balanced]]*products_final_scores_scenarios[[#This Row],[reviews_count]]</f>
        <v>55.29031785849952</v>
      </c>
    </row>
    <row r="165" spans="1:15" x14ac:dyDescent="0.3">
      <c r="A165" s="2" t="s">
        <v>209</v>
      </c>
      <c r="B165" s="2" t="s">
        <v>208</v>
      </c>
      <c r="C165" s="2">
        <v>314</v>
      </c>
      <c r="D165" s="2" t="s">
        <v>41</v>
      </c>
      <c r="E165" s="2">
        <v>9</v>
      </c>
      <c r="F165" s="2">
        <v>2.6666666666666599</v>
      </c>
      <c r="G165" s="2">
        <v>3.9144399515033199</v>
      </c>
      <c r="H165" s="2">
        <v>3.9144399515033199</v>
      </c>
      <c r="I165" s="2">
        <v>3.7805051706192598</v>
      </c>
      <c r="J165" s="2">
        <v>3.6154645259956002</v>
      </c>
      <c r="K165" s="2">
        <v>3.3092201776763299</v>
      </c>
      <c r="L165" s="2">
        <v>3.3255426769299099</v>
      </c>
      <c r="M165">
        <f>products_final_scores_scenarios[[#This Row],[rating_raw]]*products_final_scores_scenarios[[#This Row],[reviews_count]]</f>
        <v>23.99999999999994</v>
      </c>
      <c r="N165">
        <f>products_final_scores_scenarios[[#This Row],[rating_smoothed]]*products_final_scores_scenarios[[#This Row],[reviews_count]]</f>
        <v>35.229959563529881</v>
      </c>
      <c r="O165">
        <f>products_final_scores_scenarios[[#This Row],[final_score__balanced]]*products_final_scores_scenarios[[#This Row],[reviews_count]]</f>
        <v>32.5391807339604</v>
      </c>
    </row>
    <row r="166" spans="1:15" x14ac:dyDescent="0.3">
      <c r="A166" s="2" t="s">
        <v>210</v>
      </c>
      <c r="B166" s="2" t="s">
        <v>208</v>
      </c>
      <c r="C166" s="2">
        <v>314</v>
      </c>
      <c r="D166" s="2" t="s">
        <v>41</v>
      </c>
      <c r="E166" s="2">
        <v>10</v>
      </c>
      <c r="F166" s="2">
        <v>3.4</v>
      </c>
      <c r="G166" s="2">
        <v>4.1172919531198797</v>
      </c>
      <c r="H166" s="2">
        <v>4.1172919531198797</v>
      </c>
      <c r="I166" s="2">
        <v>4.0233224376728396</v>
      </c>
      <c r="J166" s="2">
        <v>3.8965352072860902</v>
      </c>
      <c r="K166" s="2">
        <v>3.62234192905375</v>
      </c>
      <c r="L166" s="2">
        <v>3.6104498782199301</v>
      </c>
      <c r="M166">
        <f>products_final_scores_scenarios[[#This Row],[rating_raw]]*products_final_scores_scenarios[[#This Row],[reviews_count]]</f>
        <v>34</v>
      </c>
      <c r="N166">
        <f>products_final_scores_scenarios[[#This Row],[rating_smoothed]]*products_final_scores_scenarios[[#This Row],[reviews_count]]</f>
        <v>41.172919531198801</v>
      </c>
      <c r="O166">
        <f>products_final_scores_scenarios[[#This Row],[final_score__balanced]]*products_final_scores_scenarios[[#This Row],[reviews_count]]</f>
        <v>38.965352072860902</v>
      </c>
    </row>
    <row r="167" spans="1:15" x14ac:dyDescent="0.3">
      <c r="A167" s="2" t="s">
        <v>211</v>
      </c>
      <c r="B167" s="2" t="s">
        <v>212</v>
      </c>
      <c r="C167" s="2">
        <v>314</v>
      </c>
      <c r="D167" s="2" t="s">
        <v>41</v>
      </c>
      <c r="E167" s="2">
        <v>26</v>
      </c>
      <c r="F167" s="2">
        <v>4.3076923076923004</v>
      </c>
      <c r="G167" s="2">
        <v>4.3808425781216602</v>
      </c>
      <c r="H167" s="2">
        <v>4.3808425781216602</v>
      </c>
      <c r="I167" s="2">
        <v>4.3066367578143296</v>
      </c>
      <c r="J167" s="2">
        <v>4.2018812056784602</v>
      </c>
      <c r="K167" s="2">
        <v>3.9579838118934298</v>
      </c>
      <c r="L167" s="2">
        <v>3.7140477186518299</v>
      </c>
      <c r="M167">
        <f>products_final_scores_scenarios[[#This Row],[rating_raw]]*products_final_scores_scenarios[[#This Row],[reviews_count]]</f>
        <v>111.99999999999982</v>
      </c>
      <c r="N167">
        <f>products_final_scores_scenarios[[#This Row],[rating_smoothed]]*products_final_scores_scenarios[[#This Row],[reviews_count]]</f>
        <v>113.90190703116316</v>
      </c>
      <c r="O167">
        <f>products_final_scores_scenarios[[#This Row],[final_score__balanced]]*products_final_scores_scenarios[[#This Row],[reviews_count]]</f>
        <v>109.24891134763996</v>
      </c>
    </row>
    <row r="168" spans="1:15" x14ac:dyDescent="0.3">
      <c r="A168" s="2" t="s">
        <v>213</v>
      </c>
      <c r="B168" s="2" t="s">
        <v>212</v>
      </c>
      <c r="C168" s="2">
        <v>314</v>
      </c>
      <c r="D168" s="2" t="s">
        <v>41</v>
      </c>
      <c r="E168" s="2">
        <v>20</v>
      </c>
      <c r="F168" s="2">
        <v>4.2</v>
      </c>
      <c r="G168" s="2">
        <v>4.3379689648399102</v>
      </c>
      <c r="H168" s="2">
        <v>4.3379689648399102</v>
      </c>
      <c r="I168" s="2">
        <v>4.2393009736205203</v>
      </c>
      <c r="J168" s="2">
        <v>4.0951365444227399</v>
      </c>
      <c r="K168" s="2">
        <v>3.7687764371638601</v>
      </c>
      <c r="L168" s="2">
        <v>3.4256532300199898</v>
      </c>
      <c r="M168">
        <f>products_final_scores_scenarios[[#This Row],[rating_raw]]*products_final_scores_scenarios[[#This Row],[reviews_count]]</f>
        <v>84</v>
      </c>
      <c r="N168">
        <f>products_final_scores_scenarios[[#This Row],[rating_smoothed]]*products_final_scores_scenarios[[#This Row],[reviews_count]]</f>
        <v>86.759379296798201</v>
      </c>
      <c r="O168">
        <f>products_final_scores_scenarios[[#This Row],[final_score__balanced]]*products_final_scores_scenarios[[#This Row],[reviews_count]]</f>
        <v>81.902730888454798</v>
      </c>
    </row>
    <row r="169" spans="1:15" x14ac:dyDescent="0.3">
      <c r="A169" s="2" t="s">
        <v>214</v>
      </c>
      <c r="B169" s="2" t="s">
        <v>212</v>
      </c>
      <c r="C169" s="2">
        <v>314</v>
      </c>
      <c r="D169" s="2" t="s">
        <v>41</v>
      </c>
      <c r="E169" s="2">
        <v>12</v>
      </c>
      <c r="F169" s="2">
        <v>5</v>
      </c>
      <c r="G169" s="2">
        <v>4.6724612060498902</v>
      </c>
      <c r="H169" s="2">
        <v>4.6724612060498902</v>
      </c>
      <c r="I169" s="2">
        <v>4.58606673057729</v>
      </c>
      <c r="J169" s="2">
        <v>4.4498660156557399</v>
      </c>
      <c r="K169" s="2">
        <v>4.1178832342992697</v>
      </c>
      <c r="L169" s="2">
        <v>3.9321709726754199</v>
      </c>
      <c r="M169">
        <f>products_final_scores_scenarios[[#This Row],[rating_raw]]*products_final_scores_scenarios[[#This Row],[reviews_count]]</f>
        <v>60</v>
      </c>
      <c r="N169">
        <f>products_final_scores_scenarios[[#This Row],[rating_smoothed]]*products_final_scores_scenarios[[#This Row],[reviews_count]]</f>
        <v>56.069534472598683</v>
      </c>
      <c r="O169">
        <f>products_final_scores_scenarios[[#This Row],[final_score__balanced]]*products_final_scores_scenarios[[#This Row],[reviews_count]]</f>
        <v>53.398392187868879</v>
      </c>
    </row>
    <row r="170" spans="1:15" x14ac:dyDescent="0.3">
      <c r="A170" s="2" t="s">
        <v>215</v>
      </c>
      <c r="B170" s="2" t="s">
        <v>212</v>
      </c>
      <c r="C170" s="2">
        <v>314</v>
      </c>
      <c r="D170" s="2" t="s">
        <v>41</v>
      </c>
      <c r="E170" s="2">
        <v>20</v>
      </c>
      <c r="F170" s="2">
        <v>4.6500000000000004</v>
      </c>
      <c r="G170" s="2">
        <v>4.5629689648399099</v>
      </c>
      <c r="H170" s="2">
        <v>4.5629689648399099</v>
      </c>
      <c r="I170" s="2">
        <v>4.4596024978481603</v>
      </c>
      <c r="J170" s="2">
        <v>4.2980608698393601</v>
      </c>
      <c r="K170" s="2">
        <v>3.9195339335539399</v>
      </c>
      <c r="L170" s="2">
        <v>3.49860060755001</v>
      </c>
      <c r="M170">
        <f>products_final_scores_scenarios[[#This Row],[rating_raw]]*products_final_scores_scenarios[[#This Row],[reviews_count]]</f>
        <v>93</v>
      </c>
      <c r="N170">
        <f>products_final_scores_scenarios[[#This Row],[rating_smoothed]]*products_final_scores_scenarios[[#This Row],[reviews_count]]</f>
        <v>91.259379296798201</v>
      </c>
      <c r="O170">
        <f>products_final_scores_scenarios[[#This Row],[final_score__balanced]]*products_final_scores_scenarios[[#This Row],[reviews_count]]</f>
        <v>85.961217396787205</v>
      </c>
    </row>
    <row r="171" spans="1:15" x14ac:dyDescent="0.3">
      <c r="A171" s="2" t="s">
        <v>216</v>
      </c>
      <c r="B171" s="2" t="s">
        <v>212</v>
      </c>
      <c r="C171" s="2">
        <v>314</v>
      </c>
      <c r="D171" s="2" t="s">
        <v>41</v>
      </c>
      <c r="E171" s="2">
        <v>25</v>
      </c>
      <c r="F171" s="2">
        <v>4.68</v>
      </c>
      <c r="G171" s="2">
        <v>4.5893057465243601</v>
      </c>
      <c r="H171" s="2">
        <v>4.5893057465243601</v>
      </c>
      <c r="I171" s="2">
        <v>4.4468367904047499</v>
      </c>
      <c r="J171" s="2">
        <v>4.2310129331177198</v>
      </c>
      <c r="K171" s="2">
        <v>3.76559054766724</v>
      </c>
      <c r="L171" s="2">
        <v>3.2579636867966602</v>
      </c>
      <c r="M171">
        <f>products_final_scores_scenarios[[#This Row],[rating_raw]]*products_final_scores_scenarios[[#This Row],[reviews_count]]</f>
        <v>117</v>
      </c>
      <c r="N171">
        <f>products_final_scores_scenarios[[#This Row],[rating_smoothed]]*products_final_scores_scenarios[[#This Row],[reviews_count]]</f>
        <v>114.732643663109</v>
      </c>
      <c r="O171">
        <f>products_final_scores_scenarios[[#This Row],[final_score__balanced]]*products_final_scores_scenarios[[#This Row],[reviews_count]]</f>
        <v>105.775323327943</v>
      </c>
    </row>
    <row r="172" spans="1:15" x14ac:dyDescent="0.3">
      <c r="A172" s="2" t="s">
        <v>217</v>
      </c>
      <c r="B172" s="2" t="s">
        <v>218</v>
      </c>
      <c r="C172" s="2">
        <v>314</v>
      </c>
      <c r="D172" s="2" t="s">
        <v>41</v>
      </c>
      <c r="E172" s="2">
        <v>1</v>
      </c>
      <c r="F172" s="2">
        <v>5</v>
      </c>
      <c r="G172" s="2">
        <v>4.5008932663617403</v>
      </c>
      <c r="H172" s="2">
        <v>4.5008932663617403</v>
      </c>
      <c r="I172" s="2">
        <v>4.5008932663617403</v>
      </c>
      <c r="J172" s="2">
        <v>4.5008932663617403</v>
      </c>
      <c r="K172" s="2">
        <v>4.5008932663617403</v>
      </c>
      <c r="L172" s="2">
        <v>4.5008932663617403</v>
      </c>
      <c r="M172">
        <f>products_final_scores_scenarios[[#This Row],[rating_raw]]*products_final_scores_scenarios[[#This Row],[reviews_count]]</f>
        <v>5</v>
      </c>
      <c r="N172">
        <f>products_final_scores_scenarios[[#This Row],[rating_smoothed]]*products_final_scores_scenarios[[#This Row],[reviews_count]]</f>
        <v>4.5008932663617403</v>
      </c>
      <c r="O172">
        <f>products_final_scores_scenarios[[#This Row],[final_score__balanced]]*products_final_scores_scenarios[[#This Row],[reviews_count]]</f>
        <v>4.5008932663617403</v>
      </c>
    </row>
    <row r="173" spans="1:15" x14ac:dyDescent="0.3">
      <c r="A173" s="2" t="s">
        <v>219</v>
      </c>
      <c r="B173" s="2" t="s">
        <v>218</v>
      </c>
      <c r="C173" s="2">
        <v>314</v>
      </c>
      <c r="D173" s="2" t="s">
        <v>41</v>
      </c>
      <c r="E173" s="2">
        <v>1</v>
      </c>
      <c r="F173" s="2">
        <v>5</v>
      </c>
      <c r="G173" s="2">
        <v>4.5008932663617403</v>
      </c>
      <c r="H173" s="2">
        <v>4.5008932663617403</v>
      </c>
      <c r="I173" s="2">
        <v>4.5008932663617403</v>
      </c>
      <c r="J173" s="2">
        <v>4.5008932663617403</v>
      </c>
      <c r="K173" s="2">
        <v>4.5008932663617403</v>
      </c>
      <c r="L173" s="2">
        <v>4.5008932663617403</v>
      </c>
      <c r="M173">
        <f>products_final_scores_scenarios[[#This Row],[rating_raw]]*products_final_scores_scenarios[[#This Row],[reviews_count]]</f>
        <v>5</v>
      </c>
      <c r="N173">
        <f>products_final_scores_scenarios[[#This Row],[rating_smoothed]]*products_final_scores_scenarios[[#This Row],[reviews_count]]</f>
        <v>4.5008932663617403</v>
      </c>
      <c r="O173">
        <f>products_final_scores_scenarios[[#This Row],[final_score__balanced]]*products_final_scores_scenarios[[#This Row],[reviews_count]]</f>
        <v>4.5008932663617403</v>
      </c>
    </row>
    <row r="174" spans="1:15" x14ac:dyDescent="0.3">
      <c r="A174" s="2" t="s">
        <v>220</v>
      </c>
      <c r="B174" s="2" t="s">
        <v>221</v>
      </c>
      <c r="C174" s="2">
        <v>225</v>
      </c>
      <c r="D174" s="2" t="s">
        <v>35</v>
      </c>
      <c r="E174" s="2">
        <v>2</v>
      </c>
      <c r="F174" s="2">
        <v>3</v>
      </c>
      <c r="G174" s="2">
        <v>4.4071407140714003</v>
      </c>
      <c r="H174" s="2">
        <v>4.4071407140714003</v>
      </c>
      <c r="I174" s="2">
        <v>4.3642697755699498</v>
      </c>
      <c r="J174" s="2">
        <v>4.3152448456716401</v>
      </c>
      <c r="K174" s="2">
        <v>4.2356046856709302</v>
      </c>
      <c r="L174" s="2">
        <v>4.2468631770024503</v>
      </c>
      <c r="M174">
        <f>products_final_scores_scenarios[[#This Row],[rating_raw]]*products_final_scores_scenarios[[#This Row],[reviews_count]]</f>
        <v>6</v>
      </c>
      <c r="N174">
        <f>products_final_scores_scenarios[[#This Row],[rating_smoothed]]*products_final_scores_scenarios[[#This Row],[reviews_count]]</f>
        <v>8.8142814281428006</v>
      </c>
      <c r="O174">
        <f>products_final_scores_scenarios[[#This Row],[final_score__balanced]]*products_final_scores_scenarios[[#This Row],[reviews_count]]</f>
        <v>8.6304896913432803</v>
      </c>
    </row>
    <row r="175" spans="1:15" x14ac:dyDescent="0.3">
      <c r="A175" s="2" t="s">
        <v>222</v>
      </c>
      <c r="B175" s="2" t="s">
        <v>223</v>
      </c>
      <c r="C175" s="2">
        <v>314</v>
      </c>
      <c r="D175" s="2" t="s">
        <v>41</v>
      </c>
      <c r="E175" s="2">
        <v>3</v>
      </c>
      <c r="F175" s="2">
        <v>5</v>
      </c>
      <c r="G175" s="2">
        <v>4.5442938518954996</v>
      </c>
      <c r="H175" s="2">
        <v>4.5442938518954996</v>
      </c>
      <c r="I175" s="2">
        <v>4.5442938518954996</v>
      </c>
      <c r="J175" s="2">
        <v>4.5442938518954996</v>
      </c>
      <c r="K175" s="2">
        <v>4.5442938518954996</v>
      </c>
      <c r="L175" s="2">
        <v>4.5442938518954996</v>
      </c>
      <c r="M175">
        <f>products_final_scores_scenarios[[#This Row],[rating_raw]]*products_final_scores_scenarios[[#This Row],[reviews_count]]</f>
        <v>15</v>
      </c>
      <c r="N175">
        <f>products_final_scores_scenarios[[#This Row],[rating_smoothed]]*products_final_scores_scenarios[[#This Row],[reviews_count]]</f>
        <v>13.632881555686499</v>
      </c>
      <c r="O175">
        <f>products_final_scores_scenarios[[#This Row],[final_score__balanced]]*products_final_scores_scenarios[[#This Row],[reviews_count]]</f>
        <v>13.632881555686499</v>
      </c>
    </row>
    <row r="176" spans="1:15" x14ac:dyDescent="0.3">
      <c r="A176" s="2" t="s">
        <v>224</v>
      </c>
      <c r="B176" s="2" t="s">
        <v>223</v>
      </c>
      <c r="C176" s="2">
        <v>314</v>
      </c>
      <c r="D176" s="2" t="s">
        <v>41</v>
      </c>
      <c r="E176" s="2">
        <v>6</v>
      </c>
      <c r="F176" s="2">
        <v>4.8333333333333304</v>
      </c>
      <c r="G176" s="2">
        <v>4.5584137920614003</v>
      </c>
      <c r="H176" s="2">
        <v>4.5584137920614003</v>
      </c>
      <c r="I176" s="2">
        <v>4.5584137920614003</v>
      </c>
      <c r="J176" s="2">
        <v>4.5584137920614003</v>
      </c>
      <c r="K176" s="2">
        <v>4.5584137920614003</v>
      </c>
      <c r="L176" s="2">
        <v>4.5584137920614003</v>
      </c>
      <c r="M176">
        <f>products_final_scores_scenarios[[#This Row],[rating_raw]]*products_final_scores_scenarios[[#This Row],[reviews_count]]</f>
        <v>28.999999999999982</v>
      </c>
      <c r="N176">
        <f>products_final_scores_scenarios[[#This Row],[rating_smoothed]]*products_final_scores_scenarios[[#This Row],[reviews_count]]</f>
        <v>27.3504827523684</v>
      </c>
      <c r="O176">
        <f>products_final_scores_scenarios[[#This Row],[final_score__balanced]]*products_final_scores_scenarios[[#This Row],[reviews_count]]</f>
        <v>27.3504827523684</v>
      </c>
    </row>
    <row r="177" spans="1:15" x14ac:dyDescent="0.3">
      <c r="A177" s="2" t="s">
        <v>225</v>
      </c>
      <c r="B177" s="2" t="s">
        <v>223</v>
      </c>
      <c r="C177" s="2">
        <v>314</v>
      </c>
      <c r="D177" s="2" t="s">
        <v>41</v>
      </c>
      <c r="E177" s="2">
        <v>2</v>
      </c>
      <c r="F177" s="2">
        <v>4</v>
      </c>
      <c r="G177" s="2">
        <v>4.4326708451634698</v>
      </c>
      <c r="H177" s="2">
        <v>4.4326708451634698</v>
      </c>
      <c r="I177" s="2">
        <v>4.4326708451634698</v>
      </c>
      <c r="J177" s="2">
        <v>4.4326708451634698</v>
      </c>
      <c r="K177" s="2">
        <v>4.4326708451634698</v>
      </c>
      <c r="L177" s="2">
        <v>4.4326708451634698</v>
      </c>
      <c r="M177">
        <f>products_final_scores_scenarios[[#This Row],[rating_raw]]*products_final_scores_scenarios[[#This Row],[reviews_count]]</f>
        <v>8</v>
      </c>
      <c r="N177">
        <f>products_final_scores_scenarios[[#This Row],[rating_smoothed]]*products_final_scores_scenarios[[#This Row],[reviews_count]]</f>
        <v>8.8653416903269395</v>
      </c>
      <c r="O177">
        <f>products_final_scores_scenarios[[#This Row],[final_score__balanced]]*products_final_scores_scenarios[[#This Row],[reviews_count]]</f>
        <v>8.8653416903269395</v>
      </c>
    </row>
    <row r="178" spans="1:15" x14ac:dyDescent="0.3">
      <c r="A178" s="2" t="s">
        <v>226</v>
      </c>
      <c r="B178" s="2" t="s">
        <v>221</v>
      </c>
      <c r="C178" s="2">
        <v>225</v>
      </c>
      <c r="D178" s="2" t="s">
        <v>35</v>
      </c>
      <c r="E178" s="2">
        <v>6</v>
      </c>
      <c r="F178" s="2">
        <v>3.6666666666666599</v>
      </c>
      <c r="G178" s="2">
        <v>4.3445036811373399</v>
      </c>
      <c r="H178" s="2">
        <v>4.3445036811373399</v>
      </c>
      <c r="I178" s="2">
        <v>4.2926669958537804</v>
      </c>
      <c r="J178" s="2">
        <v>4.2109465669008497</v>
      </c>
      <c r="K178" s="2">
        <v>4.0117568980869702</v>
      </c>
      <c r="L178" s="2">
        <v>3.9743585644501001</v>
      </c>
      <c r="M178">
        <f>products_final_scores_scenarios[[#This Row],[rating_raw]]*products_final_scores_scenarios[[#This Row],[reviews_count]]</f>
        <v>21.999999999999957</v>
      </c>
      <c r="N178">
        <f>products_final_scores_scenarios[[#This Row],[rating_smoothed]]*products_final_scores_scenarios[[#This Row],[reviews_count]]</f>
        <v>26.067022086824039</v>
      </c>
      <c r="O178">
        <f>products_final_scores_scenarios[[#This Row],[final_score__balanced]]*products_final_scores_scenarios[[#This Row],[reviews_count]]</f>
        <v>25.265679401405098</v>
      </c>
    </row>
    <row r="179" spans="1:15" x14ac:dyDescent="0.3">
      <c r="A179" s="2" t="s">
        <v>227</v>
      </c>
      <c r="B179" s="2" t="s">
        <v>221</v>
      </c>
      <c r="C179" s="2">
        <v>225</v>
      </c>
      <c r="D179" s="2" t="s">
        <v>35</v>
      </c>
      <c r="E179" s="2">
        <v>57</v>
      </c>
      <c r="F179" s="2">
        <v>4.2456140350877103</v>
      </c>
      <c r="G179" s="2">
        <v>4.3241181260983197</v>
      </c>
      <c r="H179" s="2">
        <v>4.3241181260983197</v>
      </c>
      <c r="I179" s="2">
        <v>4.2534262818838</v>
      </c>
      <c r="J179" s="2">
        <v>4.1448295913102404</v>
      </c>
      <c r="K179" s="2">
        <v>3.87523747854397</v>
      </c>
      <c r="L179" s="2">
        <v>3.58207349666622</v>
      </c>
      <c r="M179">
        <f>products_final_scores_scenarios[[#This Row],[rating_raw]]*products_final_scores_scenarios[[#This Row],[reviews_count]]</f>
        <v>241.99999999999949</v>
      </c>
      <c r="N179">
        <f>products_final_scores_scenarios[[#This Row],[rating_smoothed]]*products_final_scores_scenarios[[#This Row],[reviews_count]]</f>
        <v>246.47473318760422</v>
      </c>
      <c r="O179">
        <f>products_final_scores_scenarios[[#This Row],[final_score__balanced]]*products_final_scores_scenarios[[#This Row],[reviews_count]]</f>
        <v>236.2552867046837</v>
      </c>
    </row>
    <row r="180" spans="1:15" x14ac:dyDescent="0.3">
      <c r="A180" s="2" t="s">
        <v>228</v>
      </c>
      <c r="B180" s="2" t="s">
        <v>221</v>
      </c>
      <c r="C180" s="2">
        <v>225</v>
      </c>
      <c r="D180" s="2" t="s">
        <v>35</v>
      </c>
      <c r="E180" s="2">
        <v>3</v>
      </c>
      <c r="F180" s="2">
        <v>1</v>
      </c>
      <c r="G180" s="2">
        <v>4.0850911178074298</v>
      </c>
      <c r="H180" s="2">
        <v>4.0850911178074298</v>
      </c>
      <c r="I180" s="2">
        <v>4.0017807382880397</v>
      </c>
      <c r="J180" s="2">
        <v>3.9115756344157999</v>
      </c>
      <c r="K180" s="2">
        <v>3.7793105719510098</v>
      </c>
      <c r="L180" s="2">
        <v>3.8074822802920001</v>
      </c>
      <c r="M180">
        <f>products_final_scores_scenarios[[#This Row],[rating_raw]]*products_final_scores_scenarios[[#This Row],[reviews_count]]</f>
        <v>3</v>
      </c>
      <c r="N180">
        <f>products_final_scores_scenarios[[#This Row],[rating_smoothed]]*products_final_scores_scenarios[[#This Row],[reviews_count]]</f>
        <v>12.25527335342229</v>
      </c>
      <c r="O180">
        <f>products_final_scores_scenarios[[#This Row],[final_score__balanced]]*products_final_scores_scenarios[[#This Row],[reviews_count]]</f>
        <v>11.734726903247399</v>
      </c>
    </row>
    <row r="181" spans="1:15" x14ac:dyDescent="0.3">
      <c r="A181" s="2" t="s">
        <v>229</v>
      </c>
      <c r="B181" s="2" t="s">
        <v>221</v>
      </c>
      <c r="C181" s="2">
        <v>225</v>
      </c>
      <c r="D181" s="2" t="s">
        <v>35</v>
      </c>
      <c r="E181" s="2">
        <v>12</v>
      </c>
      <c r="F181" s="2">
        <v>3.0833333333333299</v>
      </c>
      <c r="G181" s="2">
        <v>3.99865924092409</v>
      </c>
      <c r="H181" s="2">
        <v>3.99865924092409</v>
      </c>
      <c r="I181" s="2">
        <v>3.9541422668273198</v>
      </c>
      <c r="J181" s="2">
        <v>3.87994383101451</v>
      </c>
      <c r="K181" s="2">
        <v>3.6693627315346902</v>
      </c>
      <c r="L181" s="2">
        <v>3.5406280273669801</v>
      </c>
      <c r="M181">
        <f>products_final_scores_scenarios[[#This Row],[rating_raw]]*products_final_scores_scenarios[[#This Row],[reviews_count]]</f>
        <v>36.999999999999957</v>
      </c>
      <c r="N181">
        <f>products_final_scores_scenarios[[#This Row],[rating_smoothed]]*products_final_scores_scenarios[[#This Row],[reviews_count]]</f>
        <v>47.983910891089081</v>
      </c>
      <c r="O181">
        <f>products_final_scores_scenarios[[#This Row],[final_score__balanced]]*products_final_scores_scenarios[[#This Row],[reviews_count]]</f>
        <v>46.559325972174122</v>
      </c>
    </row>
    <row r="182" spans="1:15" x14ac:dyDescent="0.3">
      <c r="A182" s="2" t="s">
        <v>230</v>
      </c>
      <c r="B182" s="2" t="s">
        <v>231</v>
      </c>
      <c r="C182" s="2">
        <v>225</v>
      </c>
      <c r="D182" s="2" t="s">
        <v>35</v>
      </c>
      <c r="E182" s="2">
        <v>9</v>
      </c>
      <c r="F182" s="2">
        <v>4.8888888888888804</v>
      </c>
      <c r="G182" s="2">
        <v>4.6536929555024402</v>
      </c>
      <c r="H182" s="2">
        <v>4.6536929555024402</v>
      </c>
      <c r="I182" s="2">
        <v>4.5503766830367196</v>
      </c>
      <c r="J182" s="2">
        <v>4.3895052146361904</v>
      </c>
      <c r="K182" s="2">
        <v>4.0209940399335098</v>
      </c>
      <c r="L182" s="2">
        <v>3.9591569615369901</v>
      </c>
      <c r="M182">
        <f>products_final_scores_scenarios[[#This Row],[rating_raw]]*products_final_scores_scenarios[[#This Row],[reviews_count]]</f>
        <v>43.999999999999922</v>
      </c>
      <c r="N182">
        <f>products_final_scores_scenarios[[#This Row],[rating_smoothed]]*products_final_scores_scenarios[[#This Row],[reviews_count]]</f>
        <v>41.883236599521965</v>
      </c>
      <c r="O182">
        <f>products_final_scores_scenarios[[#This Row],[final_score__balanced]]*products_final_scores_scenarios[[#This Row],[reviews_count]]</f>
        <v>39.505546931725711</v>
      </c>
    </row>
    <row r="183" spans="1:15" x14ac:dyDescent="0.3">
      <c r="A183" s="2" t="s">
        <v>232</v>
      </c>
      <c r="B183" s="2" t="s">
        <v>231</v>
      </c>
      <c r="C183" s="2">
        <v>225</v>
      </c>
      <c r="D183" s="2" t="s">
        <v>35</v>
      </c>
      <c r="E183" s="2">
        <v>1</v>
      </c>
      <c r="F183" s="2">
        <v>5</v>
      </c>
      <c r="G183" s="2">
        <v>4.5693855099795604</v>
      </c>
      <c r="H183" s="2">
        <v>4.5693855099795604</v>
      </c>
      <c r="I183" s="2">
        <v>4.5693855099795604</v>
      </c>
      <c r="J183" s="2">
        <v>4.5693855099795604</v>
      </c>
      <c r="K183" s="2">
        <v>4.5693855099795604</v>
      </c>
      <c r="L183" s="2">
        <v>4.5693855099795604</v>
      </c>
      <c r="M183">
        <f>products_final_scores_scenarios[[#This Row],[rating_raw]]*products_final_scores_scenarios[[#This Row],[reviews_count]]</f>
        <v>5</v>
      </c>
      <c r="N183">
        <f>products_final_scores_scenarios[[#This Row],[rating_smoothed]]*products_final_scores_scenarios[[#This Row],[reviews_count]]</f>
        <v>4.5693855099795604</v>
      </c>
      <c r="O183">
        <f>products_final_scores_scenarios[[#This Row],[final_score__balanced]]*products_final_scores_scenarios[[#This Row],[reviews_count]]</f>
        <v>4.5693855099795604</v>
      </c>
    </row>
    <row r="184" spans="1:15" x14ac:dyDescent="0.3">
      <c r="A184" s="2" t="s">
        <v>233</v>
      </c>
      <c r="B184" s="2" t="s">
        <v>231</v>
      </c>
      <c r="C184" s="2">
        <v>225</v>
      </c>
      <c r="D184" s="2" t="s">
        <v>35</v>
      </c>
      <c r="E184" s="2">
        <v>1</v>
      </c>
      <c r="F184" s="2">
        <v>5</v>
      </c>
      <c r="G184" s="2">
        <v>4.5693855099795604</v>
      </c>
      <c r="H184" s="2">
        <v>4.5693855099795604</v>
      </c>
      <c r="I184" s="2">
        <v>4.5693855099795604</v>
      </c>
      <c r="J184" s="2">
        <v>4.5693855099795604</v>
      </c>
      <c r="K184" s="2">
        <v>4.5693855099795604</v>
      </c>
      <c r="L184" s="2">
        <v>4.5693855099795604</v>
      </c>
      <c r="M184">
        <f>products_final_scores_scenarios[[#This Row],[rating_raw]]*products_final_scores_scenarios[[#This Row],[reviews_count]]</f>
        <v>5</v>
      </c>
      <c r="N184">
        <f>products_final_scores_scenarios[[#This Row],[rating_smoothed]]*products_final_scores_scenarios[[#This Row],[reviews_count]]</f>
        <v>4.5693855099795604</v>
      </c>
      <c r="O184">
        <f>products_final_scores_scenarios[[#This Row],[final_score__balanced]]*products_final_scores_scenarios[[#This Row],[reviews_count]]</f>
        <v>4.5693855099795604</v>
      </c>
    </row>
    <row r="185" spans="1:15" x14ac:dyDescent="0.3">
      <c r="A185" s="2" t="s">
        <v>234</v>
      </c>
      <c r="B185" s="2" t="s">
        <v>231</v>
      </c>
      <c r="C185" s="2">
        <v>314</v>
      </c>
      <c r="D185" s="2" t="s">
        <v>41</v>
      </c>
      <c r="E185" s="2">
        <v>1</v>
      </c>
      <c r="F185" s="2">
        <v>5</v>
      </c>
      <c r="G185" s="2">
        <v>4.5008932663617403</v>
      </c>
      <c r="H185" s="2">
        <v>4.5008932663617403</v>
      </c>
      <c r="I185" s="2">
        <v>4.5008932663617403</v>
      </c>
      <c r="J185" s="2">
        <v>4.5008932663617403</v>
      </c>
      <c r="K185" s="2">
        <v>4.5008932663617403</v>
      </c>
      <c r="L185" s="2">
        <v>4.5008932663617403</v>
      </c>
      <c r="M185">
        <f>products_final_scores_scenarios[[#This Row],[rating_raw]]*products_final_scores_scenarios[[#This Row],[reviews_count]]</f>
        <v>5</v>
      </c>
      <c r="N185">
        <f>products_final_scores_scenarios[[#This Row],[rating_smoothed]]*products_final_scores_scenarios[[#This Row],[reviews_count]]</f>
        <v>4.5008932663617403</v>
      </c>
      <c r="O185">
        <f>products_final_scores_scenarios[[#This Row],[final_score__balanced]]*products_final_scores_scenarios[[#This Row],[reviews_count]]</f>
        <v>4.5008932663617403</v>
      </c>
    </row>
    <row r="186" spans="1:15" x14ac:dyDescent="0.3">
      <c r="A186" s="2" t="s">
        <v>235</v>
      </c>
      <c r="B186" s="2" t="s">
        <v>236</v>
      </c>
      <c r="C186" s="2">
        <v>314</v>
      </c>
      <c r="D186" s="2" t="s">
        <v>41</v>
      </c>
      <c r="E186" s="2">
        <v>34</v>
      </c>
      <c r="F186" s="2">
        <v>4.4117647058823497</v>
      </c>
      <c r="G186" s="2">
        <v>4.4355325665480798</v>
      </c>
      <c r="H186" s="2">
        <v>4.4355325665480798</v>
      </c>
      <c r="I186" s="2">
        <v>4.3139658648180603</v>
      </c>
      <c r="J186" s="2">
        <v>4.1249699219428404</v>
      </c>
      <c r="K186" s="2">
        <v>3.69730729386441</v>
      </c>
      <c r="L186" s="2">
        <v>3.22285444136641</v>
      </c>
      <c r="M186">
        <f>products_final_scores_scenarios[[#This Row],[rating_raw]]*products_final_scores_scenarios[[#This Row],[reviews_count]]</f>
        <v>149.99999999999989</v>
      </c>
      <c r="N186">
        <f>products_final_scores_scenarios[[#This Row],[rating_smoothed]]*products_final_scores_scenarios[[#This Row],[reviews_count]]</f>
        <v>150.80810726263471</v>
      </c>
      <c r="O186">
        <f>products_final_scores_scenarios[[#This Row],[final_score__balanced]]*products_final_scores_scenarios[[#This Row],[reviews_count]]</f>
        <v>140.24897734605656</v>
      </c>
    </row>
    <row r="187" spans="1:15" x14ac:dyDescent="0.3">
      <c r="A187" s="2" t="s">
        <v>237</v>
      </c>
      <c r="B187" s="2" t="s">
        <v>236</v>
      </c>
      <c r="C187" s="2">
        <v>314</v>
      </c>
      <c r="D187" s="2" t="s">
        <v>41</v>
      </c>
      <c r="E187" s="2">
        <v>2</v>
      </c>
      <c r="F187" s="2">
        <v>5</v>
      </c>
      <c r="G187" s="2">
        <v>4.5235799360725704</v>
      </c>
      <c r="H187" s="2">
        <v>4.5235799360725704</v>
      </c>
      <c r="I187" s="2">
        <v>4.5235799360725704</v>
      </c>
      <c r="J187" s="2">
        <v>4.5235799360725704</v>
      </c>
      <c r="K187" s="2">
        <v>4.5235799360725704</v>
      </c>
      <c r="L187" s="2">
        <v>4.5235799360725704</v>
      </c>
      <c r="M187">
        <f>products_final_scores_scenarios[[#This Row],[rating_raw]]*products_final_scores_scenarios[[#This Row],[reviews_count]]</f>
        <v>10</v>
      </c>
      <c r="N187">
        <f>products_final_scores_scenarios[[#This Row],[rating_smoothed]]*products_final_scores_scenarios[[#This Row],[reviews_count]]</f>
        <v>9.0471598721451407</v>
      </c>
      <c r="O187">
        <f>products_final_scores_scenarios[[#This Row],[final_score__balanced]]*products_final_scores_scenarios[[#This Row],[reviews_count]]</f>
        <v>9.0471598721451407</v>
      </c>
    </row>
    <row r="188" spans="1:15" x14ac:dyDescent="0.3">
      <c r="A188" s="2" t="s">
        <v>238</v>
      </c>
      <c r="B188" s="2" t="s">
        <v>239</v>
      </c>
      <c r="C188" s="2">
        <v>225</v>
      </c>
      <c r="D188" s="2" t="s">
        <v>35</v>
      </c>
      <c r="E188" s="2">
        <v>9</v>
      </c>
      <c r="F188" s="2">
        <v>4.1111111111111098</v>
      </c>
      <c r="G188" s="2">
        <v>4.4123136451576102</v>
      </c>
      <c r="H188" s="2">
        <v>4.4123136451576102</v>
      </c>
      <c r="I188" s="2">
        <v>4.3141631863151702</v>
      </c>
      <c r="J188" s="2">
        <v>4.17214297164284</v>
      </c>
      <c r="K188" s="2">
        <v>3.8587020940348</v>
      </c>
      <c r="L188" s="2">
        <v>3.8246293425714599</v>
      </c>
      <c r="M188">
        <f>products_final_scores_scenarios[[#This Row],[rating_raw]]*products_final_scores_scenarios[[#This Row],[reviews_count]]</f>
        <v>36.999999999999986</v>
      </c>
      <c r="N188">
        <f>products_final_scores_scenarios[[#This Row],[rating_smoothed]]*products_final_scores_scenarios[[#This Row],[reviews_count]]</f>
        <v>39.710822806418491</v>
      </c>
      <c r="O188">
        <f>products_final_scores_scenarios[[#This Row],[final_score__balanced]]*products_final_scores_scenarios[[#This Row],[reviews_count]]</f>
        <v>37.549286744785562</v>
      </c>
    </row>
    <row r="189" spans="1:15" x14ac:dyDescent="0.3">
      <c r="A189" s="2" t="s">
        <v>240</v>
      </c>
      <c r="B189" s="2" t="s">
        <v>239</v>
      </c>
      <c r="C189" s="2">
        <v>225</v>
      </c>
      <c r="D189" s="2" t="s">
        <v>35</v>
      </c>
      <c r="E189" s="2">
        <v>33</v>
      </c>
      <c r="F189" s="2">
        <v>4.0606060606060597</v>
      </c>
      <c r="G189" s="2">
        <v>4.2444735039541603</v>
      </c>
      <c r="H189" s="2">
        <v>4.2444735039541603</v>
      </c>
      <c r="I189" s="2">
        <v>4.1225838077497503</v>
      </c>
      <c r="J189" s="2">
        <v>3.94017382663406</v>
      </c>
      <c r="K189" s="2">
        <v>3.5374654989027898</v>
      </c>
      <c r="L189" s="2">
        <v>3.1030796785094399</v>
      </c>
      <c r="M189">
        <f>products_final_scores_scenarios[[#This Row],[rating_raw]]*products_final_scores_scenarios[[#This Row],[reviews_count]]</f>
        <v>133.99999999999997</v>
      </c>
      <c r="N189">
        <f>products_final_scores_scenarios[[#This Row],[rating_smoothed]]*products_final_scores_scenarios[[#This Row],[reviews_count]]</f>
        <v>140.0676256304873</v>
      </c>
      <c r="O189">
        <f>products_final_scores_scenarios[[#This Row],[final_score__balanced]]*products_final_scores_scenarios[[#This Row],[reviews_count]]</f>
        <v>130.02573627892397</v>
      </c>
    </row>
    <row r="190" spans="1:15" x14ac:dyDescent="0.3">
      <c r="A190" s="2" t="s">
        <v>241</v>
      </c>
      <c r="B190" s="2" t="s">
        <v>242</v>
      </c>
      <c r="C190" s="2">
        <v>314</v>
      </c>
      <c r="D190" s="2" t="s">
        <v>41</v>
      </c>
      <c r="E190" s="2">
        <v>14</v>
      </c>
      <c r="F190" s="2">
        <v>5</v>
      </c>
      <c r="G190" s="2">
        <v>4.6917281939293103</v>
      </c>
      <c r="H190" s="2">
        <v>4.6917281939293103</v>
      </c>
      <c r="I190" s="2">
        <v>4.6173518238861</v>
      </c>
      <c r="J190" s="2">
        <v>4.4989741483332804</v>
      </c>
      <c r="K190" s="2">
        <v>4.2005880716734998</v>
      </c>
      <c r="L190" s="2">
        <v>3.9206806689904798</v>
      </c>
      <c r="M190">
        <f>products_final_scores_scenarios[[#This Row],[rating_raw]]*products_final_scores_scenarios[[#This Row],[reviews_count]]</f>
        <v>70</v>
      </c>
      <c r="N190">
        <f>products_final_scores_scenarios[[#This Row],[rating_smoothed]]*products_final_scores_scenarios[[#This Row],[reviews_count]]</f>
        <v>65.684194715010349</v>
      </c>
      <c r="O190">
        <f>products_final_scores_scenarios[[#This Row],[final_score__balanced]]*products_final_scores_scenarios[[#This Row],[reviews_count]]</f>
        <v>62.985638076665921</v>
      </c>
    </row>
    <row r="191" spans="1:15" x14ac:dyDescent="0.3">
      <c r="A191" s="2" t="s">
        <v>243</v>
      </c>
      <c r="B191" s="2" t="s">
        <v>242</v>
      </c>
      <c r="C191" s="2">
        <v>314</v>
      </c>
      <c r="D191" s="2" t="s">
        <v>41</v>
      </c>
      <c r="E191" s="2">
        <v>21</v>
      </c>
      <c r="F191" s="2">
        <v>4.71428571428571</v>
      </c>
      <c r="G191" s="2">
        <v>4.5980185022828399</v>
      </c>
      <c r="H191" s="2">
        <v>4.5980185022828399</v>
      </c>
      <c r="I191" s="2">
        <v>4.3847764608349697</v>
      </c>
      <c r="J191" s="2">
        <v>4.0757990701417697</v>
      </c>
      <c r="K191" s="2">
        <v>3.4810028953528098</v>
      </c>
      <c r="L191" s="2">
        <v>2.8491579819629602</v>
      </c>
      <c r="M191">
        <f>products_final_scores_scenarios[[#This Row],[rating_raw]]*products_final_scores_scenarios[[#This Row],[reviews_count]]</f>
        <v>98.999999999999915</v>
      </c>
      <c r="N191">
        <f>products_final_scores_scenarios[[#This Row],[rating_smoothed]]*products_final_scores_scenarios[[#This Row],[reviews_count]]</f>
        <v>96.558388547939643</v>
      </c>
      <c r="O191">
        <f>products_final_scores_scenarios[[#This Row],[final_score__balanced]]*products_final_scores_scenarios[[#This Row],[reviews_count]]</f>
        <v>85.591780472977163</v>
      </c>
    </row>
    <row r="192" spans="1:15" x14ac:dyDescent="0.3">
      <c r="A192" s="2" t="s">
        <v>244</v>
      </c>
      <c r="B192" s="2" t="s">
        <v>242</v>
      </c>
      <c r="C192" s="2">
        <v>314</v>
      </c>
      <c r="D192" s="2" t="s">
        <v>41</v>
      </c>
      <c r="E192" s="2">
        <v>6</v>
      </c>
      <c r="F192" s="2">
        <v>5</v>
      </c>
      <c r="G192" s="2">
        <v>4.5968753305229404</v>
      </c>
      <c r="H192" s="2">
        <v>4.5968753305229404</v>
      </c>
      <c r="I192" s="2">
        <v>4.5968753305229404</v>
      </c>
      <c r="J192" s="2">
        <v>4.5968753305229404</v>
      </c>
      <c r="K192" s="2">
        <v>4.5968753305229404</v>
      </c>
      <c r="L192" s="2">
        <v>4.5968753305229404</v>
      </c>
      <c r="M192">
        <f>products_final_scores_scenarios[[#This Row],[rating_raw]]*products_final_scores_scenarios[[#This Row],[reviews_count]]</f>
        <v>30</v>
      </c>
      <c r="N192">
        <f>products_final_scores_scenarios[[#This Row],[rating_smoothed]]*products_final_scores_scenarios[[#This Row],[reviews_count]]</f>
        <v>27.581251983137641</v>
      </c>
      <c r="O192">
        <f>products_final_scores_scenarios[[#This Row],[final_score__balanced]]*products_final_scores_scenarios[[#This Row],[reviews_count]]</f>
        <v>27.581251983137641</v>
      </c>
    </row>
    <row r="193" spans="1:15" x14ac:dyDescent="0.3">
      <c r="A193" s="2" t="s">
        <v>245</v>
      </c>
      <c r="B193" s="2" t="s">
        <v>242</v>
      </c>
      <c r="C193" s="2">
        <v>314</v>
      </c>
      <c r="D193" s="2" t="s">
        <v>41</v>
      </c>
      <c r="E193" s="2">
        <v>12</v>
      </c>
      <c r="F193" s="2">
        <v>4.75</v>
      </c>
      <c r="G193" s="2">
        <v>4.5787112060498902</v>
      </c>
      <c r="H193" s="2">
        <v>4.5787112060498902</v>
      </c>
      <c r="I193" s="2">
        <v>4.5787112060498902</v>
      </c>
      <c r="J193" s="2">
        <v>4.5787112060498902</v>
      </c>
      <c r="K193" s="2">
        <v>4.5787112060498902</v>
      </c>
      <c r="L193" s="2">
        <v>4.5787112060498902</v>
      </c>
      <c r="M193">
        <f>products_final_scores_scenarios[[#This Row],[rating_raw]]*products_final_scores_scenarios[[#This Row],[reviews_count]]</f>
        <v>57</v>
      </c>
      <c r="N193">
        <f>products_final_scores_scenarios[[#This Row],[rating_smoothed]]*products_final_scores_scenarios[[#This Row],[reviews_count]]</f>
        <v>54.944534472598683</v>
      </c>
      <c r="O193">
        <f>products_final_scores_scenarios[[#This Row],[final_score__balanced]]*products_final_scores_scenarios[[#This Row],[reviews_count]]</f>
        <v>54.944534472598683</v>
      </c>
    </row>
    <row r="194" spans="1:15" x14ac:dyDescent="0.3">
      <c r="A194" s="2" t="s">
        <v>246</v>
      </c>
      <c r="B194" s="2" t="s">
        <v>242</v>
      </c>
      <c r="C194" s="2">
        <v>314</v>
      </c>
      <c r="D194" s="2" t="s">
        <v>41</v>
      </c>
      <c r="E194" s="2">
        <v>12</v>
      </c>
      <c r="F194" s="2">
        <v>4.75</v>
      </c>
      <c r="G194" s="2">
        <v>4.5787112060498902</v>
      </c>
      <c r="H194" s="2">
        <v>4.5787112060498902</v>
      </c>
      <c r="I194" s="2">
        <v>4.5787112060498902</v>
      </c>
      <c r="J194" s="2">
        <v>4.5787112060498902</v>
      </c>
      <c r="K194" s="2">
        <v>4.5787112060498902</v>
      </c>
      <c r="L194" s="2">
        <v>4.5787112060498902</v>
      </c>
      <c r="M194">
        <f>products_final_scores_scenarios[[#This Row],[rating_raw]]*products_final_scores_scenarios[[#This Row],[reviews_count]]</f>
        <v>57</v>
      </c>
      <c r="N194">
        <f>products_final_scores_scenarios[[#This Row],[rating_smoothed]]*products_final_scores_scenarios[[#This Row],[reviews_count]]</f>
        <v>54.944534472598683</v>
      </c>
      <c r="O194">
        <f>products_final_scores_scenarios[[#This Row],[final_score__balanced]]*products_final_scores_scenarios[[#This Row],[reviews_count]]</f>
        <v>54.944534472598683</v>
      </c>
    </row>
    <row r="195" spans="1:15" x14ac:dyDescent="0.3">
      <c r="A195" s="2" t="s">
        <v>247</v>
      </c>
      <c r="B195" s="2" t="s">
        <v>248</v>
      </c>
      <c r="C195" s="2">
        <v>76</v>
      </c>
      <c r="D195" s="2" t="s">
        <v>14</v>
      </c>
      <c r="E195" s="2">
        <v>13</v>
      </c>
      <c r="F195" s="2">
        <v>4.6923076923076898</v>
      </c>
      <c r="G195" s="2">
        <v>4.5869414709485001</v>
      </c>
      <c r="H195" s="2">
        <v>4.5869414709485001</v>
      </c>
      <c r="I195" s="2">
        <v>4.5869414709485001</v>
      </c>
      <c r="J195" s="2">
        <v>4.5869414709485001</v>
      </c>
      <c r="K195" s="2">
        <v>4.5869414709485001</v>
      </c>
      <c r="L195" s="2">
        <v>4.5869414709485001</v>
      </c>
      <c r="M195">
        <f>products_final_scores_scenarios[[#This Row],[rating_raw]]*products_final_scores_scenarios[[#This Row],[reviews_count]]</f>
        <v>60.999999999999972</v>
      </c>
      <c r="N195">
        <f>products_final_scores_scenarios[[#This Row],[rating_smoothed]]*products_final_scores_scenarios[[#This Row],[reviews_count]]</f>
        <v>59.630239122330501</v>
      </c>
      <c r="O195">
        <f>products_final_scores_scenarios[[#This Row],[final_score__balanced]]*products_final_scores_scenarios[[#This Row],[reviews_count]]</f>
        <v>59.630239122330501</v>
      </c>
    </row>
    <row r="196" spans="1:15" x14ac:dyDescent="0.3">
      <c r="A196" s="2" t="s">
        <v>249</v>
      </c>
      <c r="B196" s="2" t="s">
        <v>250</v>
      </c>
      <c r="C196" s="2">
        <v>314</v>
      </c>
      <c r="D196" s="2" t="s">
        <v>41</v>
      </c>
      <c r="E196" s="2">
        <v>8</v>
      </c>
      <c r="F196" s="2">
        <v>4.25</v>
      </c>
      <c r="G196" s="2">
        <v>4.4113842354855901</v>
      </c>
      <c r="H196" s="2">
        <v>4.4113842354855901</v>
      </c>
      <c r="I196" s="2">
        <v>4.4113842354855901</v>
      </c>
      <c r="J196" s="2">
        <v>4.4113842354855901</v>
      </c>
      <c r="K196" s="2">
        <v>4.4113842354855901</v>
      </c>
      <c r="L196" s="2">
        <v>4.4113842354855901</v>
      </c>
      <c r="M196">
        <f>products_final_scores_scenarios[[#This Row],[rating_raw]]*products_final_scores_scenarios[[#This Row],[reviews_count]]</f>
        <v>34</v>
      </c>
      <c r="N196">
        <f>products_final_scores_scenarios[[#This Row],[rating_smoothed]]*products_final_scores_scenarios[[#This Row],[reviews_count]]</f>
        <v>35.291073883884721</v>
      </c>
      <c r="O196">
        <f>products_final_scores_scenarios[[#This Row],[final_score__balanced]]*products_final_scores_scenarios[[#This Row],[reviews_count]]</f>
        <v>35.291073883884721</v>
      </c>
    </row>
    <row r="197" spans="1:15" x14ac:dyDescent="0.3">
      <c r="A197" s="2" t="s">
        <v>251</v>
      </c>
      <c r="B197" s="2" t="s">
        <v>250</v>
      </c>
      <c r="C197" s="2">
        <v>314</v>
      </c>
      <c r="D197" s="2" t="s">
        <v>41</v>
      </c>
      <c r="E197" s="2">
        <v>4</v>
      </c>
      <c r="F197" s="2">
        <v>5</v>
      </c>
      <c r="G197" s="2">
        <v>4.5632816080665197</v>
      </c>
      <c r="H197" s="2">
        <v>4.5632816080665197</v>
      </c>
      <c r="I197" s="2">
        <v>4.5632816080665197</v>
      </c>
      <c r="J197" s="2">
        <v>4.5632816080665197</v>
      </c>
      <c r="K197" s="2">
        <v>4.5632816080665197</v>
      </c>
      <c r="L197" s="2">
        <v>4.5632816080665197</v>
      </c>
      <c r="M197">
        <f>products_final_scores_scenarios[[#This Row],[rating_raw]]*products_final_scores_scenarios[[#This Row],[reviews_count]]</f>
        <v>20</v>
      </c>
      <c r="N197">
        <f>products_final_scores_scenarios[[#This Row],[rating_smoothed]]*products_final_scores_scenarios[[#This Row],[reviews_count]]</f>
        <v>18.253126432266079</v>
      </c>
      <c r="O197">
        <f>products_final_scores_scenarios[[#This Row],[final_score__balanced]]*products_final_scores_scenarios[[#This Row],[reviews_count]]</f>
        <v>18.253126432266079</v>
      </c>
    </row>
    <row r="198" spans="1:15" x14ac:dyDescent="0.3">
      <c r="A198" s="2" t="s">
        <v>252</v>
      </c>
      <c r="B198" s="2" t="s">
        <v>250</v>
      </c>
      <c r="C198" s="2">
        <v>314</v>
      </c>
      <c r="D198" s="2" t="s">
        <v>41</v>
      </c>
      <c r="E198" s="2">
        <v>62</v>
      </c>
      <c r="F198" s="2">
        <v>4.67741935483871</v>
      </c>
      <c r="G198" s="2">
        <v>4.62827754382434</v>
      </c>
      <c r="H198" s="2">
        <v>4.62827754382434</v>
      </c>
      <c r="I198" s="2">
        <v>4.5458523993920803</v>
      </c>
      <c r="J198" s="2">
        <v>4.4184401006099696</v>
      </c>
      <c r="K198" s="2">
        <v>4.1090611830614998</v>
      </c>
      <c r="L198" s="2">
        <v>3.7693510679173201</v>
      </c>
      <c r="M198">
        <f>products_final_scores_scenarios[[#This Row],[rating_raw]]*products_final_scores_scenarios[[#This Row],[reviews_count]]</f>
        <v>290</v>
      </c>
      <c r="N198">
        <f>products_final_scores_scenarios[[#This Row],[rating_smoothed]]*products_final_scores_scenarios[[#This Row],[reviews_count]]</f>
        <v>286.95320771710908</v>
      </c>
      <c r="O198">
        <f>products_final_scores_scenarios[[#This Row],[final_score__balanced]]*products_final_scores_scenarios[[#This Row],[reviews_count]]</f>
        <v>273.94328623781814</v>
      </c>
    </row>
    <row r="199" spans="1:15" x14ac:dyDescent="0.3">
      <c r="A199" s="2" t="s">
        <v>253</v>
      </c>
      <c r="B199" s="2" t="s">
        <v>250</v>
      </c>
      <c r="C199" s="2">
        <v>314</v>
      </c>
      <c r="D199" s="2" t="s">
        <v>41</v>
      </c>
      <c r="E199" s="2">
        <v>62</v>
      </c>
      <c r="F199" s="2">
        <v>4.67741935483871</v>
      </c>
      <c r="G199" s="2">
        <v>4.62827754382434</v>
      </c>
      <c r="H199" s="2">
        <v>4.62827754382434</v>
      </c>
      <c r="I199" s="2">
        <v>4.5458523993920803</v>
      </c>
      <c r="J199" s="2">
        <v>4.4184401006099696</v>
      </c>
      <c r="K199" s="2">
        <v>4.1090611830614998</v>
      </c>
      <c r="L199" s="2">
        <v>3.7693510679173201</v>
      </c>
      <c r="M199">
        <f>products_final_scores_scenarios[[#This Row],[rating_raw]]*products_final_scores_scenarios[[#This Row],[reviews_count]]</f>
        <v>290</v>
      </c>
      <c r="N199">
        <f>products_final_scores_scenarios[[#This Row],[rating_smoothed]]*products_final_scores_scenarios[[#This Row],[reviews_count]]</f>
        <v>286.95320771710908</v>
      </c>
      <c r="O199">
        <f>products_final_scores_scenarios[[#This Row],[final_score__balanced]]*products_final_scores_scenarios[[#This Row],[reviews_count]]</f>
        <v>273.94328623781814</v>
      </c>
    </row>
    <row r="200" spans="1:15" x14ac:dyDescent="0.3">
      <c r="A200" s="2" t="s">
        <v>254</v>
      </c>
      <c r="B200" s="2" t="s">
        <v>250</v>
      </c>
      <c r="C200" s="2">
        <v>314</v>
      </c>
      <c r="D200" s="2" t="s">
        <v>41</v>
      </c>
      <c r="E200" s="2">
        <v>24</v>
      </c>
      <c r="F200" s="2">
        <v>4.5416666666666599</v>
      </c>
      <c r="G200" s="2">
        <v>4.5117899680362799</v>
      </c>
      <c r="H200" s="2">
        <v>4.5117899680362799</v>
      </c>
      <c r="I200" s="2">
        <v>4.46638265445758</v>
      </c>
      <c r="J200" s="2">
        <v>4.3885085808224904</v>
      </c>
      <c r="K200" s="2">
        <v>4.1641992081252504</v>
      </c>
      <c r="L200" s="2">
        <v>3.8983553070223</v>
      </c>
      <c r="M200">
        <f>products_final_scores_scenarios[[#This Row],[rating_raw]]*products_final_scores_scenarios[[#This Row],[reviews_count]]</f>
        <v>108.99999999999983</v>
      </c>
      <c r="N200">
        <f>products_final_scores_scenarios[[#This Row],[rating_smoothed]]*products_final_scores_scenarios[[#This Row],[reviews_count]]</f>
        <v>108.28295923287072</v>
      </c>
      <c r="O200">
        <f>products_final_scores_scenarios[[#This Row],[final_score__balanced]]*products_final_scores_scenarios[[#This Row],[reviews_count]]</f>
        <v>105.32420593973977</v>
      </c>
    </row>
    <row r="201" spans="1:15" x14ac:dyDescent="0.3">
      <c r="A201" s="2" t="s">
        <v>255</v>
      </c>
      <c r="B201" s="2" t="s">
        <v>250</v>
      </c>
      <c r="C201" s="2">
        <v>314</v>
      </c>
      <c r="D201" s="2" t="s">
        <v>41</v>
      </c>
      <c r="E201" s="2">
        <v>24</v>
      </c>
      <c r="F201" s="2">
        <v>4.5416666666666599</v>
      </c>
      <c r="G201" s="2">
        <v>4.5117899680362799</v>
      </c>
      <c r="H201" s="2">
        <v>4.5117899680362799</v>
      </c>
      <c r="I201" s="2">
        <v>4.46638265445758</v>
      </c>
      <c r="J201" s="2">
        <v>4.3885085808224904</v>
      </c>
      <c r="K201" s="2">
        <v>4.1641992081252504</v>
      </c>
      <c r="L201" s="2">
        <v>3.8983553070223</v>
      </c>
      <c r="M201">
        <f>products_final_scores_scenarios[[#This Row],[rating_raw]]*products_final_scores_scenarios[[#This Row],[reviews_count]]</f>
        <v>108.99999999999983</v>
      </c>
      <c r="N201">
        <f>products_final_scores_scenarios[[#This Row],[rating_smoothed]]*products_final_scores_scenarios[[#This Row],[reviews_count]]</f>
        <v>108.28295923287072</v>
      </c>
      <c r="O201">
        <f>products_final_scores_scenarios[[#This Row],[final_score__balanced]]*products_final_scores_scenarios[[#This Row],[reviews_count]]</f>
        <v>105.32420593973977</v>
      </c>
    </row>
    <row r="202" spans="1:15" x14ac:dyDescent="0.3">
      <c r="A202" s="2" t="s">
        <v>256</v>
      </c>
      <c r="B202" s="2" t="s">
        <v>250</v>
      </c>
      <c r="C202" s="2">
        <v>314</v>
      </c>
      <c r="D202" s="2" t="s">
        <v>41</v>
      </c>
      <c r="E202" s="2">
        <v>4</v>
      </c>
      <c r="F202" s="2">
        <v>5</v>
      </c>
      <c r="G202" s="2">
        <v>4.5632816080665197</v>
      </c>
      <c r="H202" s="2">
        <v>4.5632816080665197</v>
      </c>
      <c r="I202" s="2">
        <v>4.5632816080665197</v>
      </c>
      <c r="J202" s="2">
        <v>4.5632816080665197</v>
      </c>
      <c r="K202" s="2">
        <v>4.5632816080665197</v>
      </c>
      <c r="L202" s="2">
        <v>4.5632816080665197</v>
      </c>
      <c r="M202">
        <f>products_final_scores_scenarios[[#This Row],[rating_raw]]*products_final_scores_scenarios[[#This Row],[reviews_count]]</f>
        <v>20</v>
      </c>
      <c r="N202">
        <f>products_final_scores_scenarios[[#This Row],[rating_smoothed]]*products_final_scores_scenarios[[#This Row],[reviews_count]]</f>
        <v>18.253126432266079</v>
      </c>
      <c r="O202">
        <f>products_final_scores_scenarios[[#This Row],[final_score__balanced]]*products_final_scores_scenarios[[#This Row],[reviews_count]]</f>
        <v>18.253126432266079</v>
      </c>
    </row>
    <row r="203" spans="1:15" x14ac:dyDescent="0.3">
      <c r="A203" s="2" t="s">
        <v>257</v>
      </c>
      <c r="B203" s="2" t="s">
        <v>258</v>
      </c>
      <c r="C203" s="2">
        <v>76</v>
      </c>
      <c r="D203" s="2" t="s">
        <v>14</v>
      </c>
      <c r="E203" s="2">
        <v>5</v>
      </c>
      <c r="F203" s="2">
        <v>3.6</v>
      </c>
      <c r="G203" s="2">
        <v>4.3347627416520202</v>
      </c>
      <c r="H203" s="2">
        <v>4.3347627416520202</v>
      </c>
      <c r="I203" s="2">
        <v>4.2470860835412001</v>
      </c>
      <c r="J203" s="2">
        <v>4.1425828322149902</v>
      </c>
      <c r="K203" s="2">
        <v>3.9596607661161398</v>
      </c>
      <c r="L203" s="2">
        <v>3.9763712734996002</v>
      </c>
      <c r="M203">
        <f>products_final_scores_scenarios[[#This Row],[rating_raw]]*products_final_scores_scenarios[[#This Row],[reviews_count]]</f>
        <v>18</v>
      </c>
      <c r="N203">
        <f>products_final_scores_scenarios[[#This Row],[rating_smoothed]]*products_final_scores_scenarios[[#This Row],[reviews_count]]</f>
        <v>21.673813708260102</v>
      </c>
      <c r="O203">
        <f>products_final_scores_scenarios[[#This Row],[final_score__balanced]]*products_final_scores_scenarios[[#This Row],[reviews_count]]</f>
        <v>20.712914161074952</v>
      </c>
    </row>
    <row r="204" spans="1:15" x14ac:dyDescent="0.3">
      <c r="A204" s="2" t="s">
        <v>259</v>
      </c>
      <c r="B204" s="2" t="s">
        <v>258</v>
      </c>
      <c r="C204" s="2">
        <v>76</v>
      </c>
      <c r="D204" s="2" t="s">
        <v>14</v>
      </c>
      <c r="E204" s="2">
        <v>5</v>
      </c>
      <c r="F204" s="2">
        <v>3.6</v>
      </c>
      <c r="G204" s="2">
        <v>4.3347627416520202</v>
      </c>
      <c r="H204" s="2">
        <v>4.3347627416520202</v>
      </c>
      <c r="I204" s="2">
        <v>4.2470860835412001</v>
      </c>
      <c r="J204" s="2">
        <v>4.1425828322149902</v>
      </c>
      <c r="K204" s="2">
        <v>3.9596607661161398</v>
      </c>
      <c r="L204" s="2">
        <v>3.9763712734996002</v>
      </c>
      <c r="M204">
        <f>products_final_scores_scenarios[[#This Row],[rating_raw]]*products_final_scores_scenarios[[#This Row],[reviews_count]]</f>
        <v>18</v>
      </c>
      <c r="N204">
        <f>products_final_scores_scenarios[[#This Row],[rating_smoothed]]*products_final_scores_scenarios[[#This Row],[reviews_count]]</f>
        <v>21.673813708260102</v>
      </c>
      <c r="O204">
        <f>products_final_scores_scenarios[[#This Row],[final_score__balanced]]*products_final_scores_scenarios[[#This Row],[reviews_count]]</f>
        <v>20.712914161074952</v>
      </c>
    </row>
    <row r="205" spans="1:15" x14ac:dyDescent="0.3">
      <c r="A205" s="2" t="s">
        <v>386</v>
      </c>
      <c r="B205" s="2" t="s">
        <v>258</v>
      </c>
      <c r="C205" s="2">
        <v>76</v>
      </c>
      <c r="D205" s="2" t="s">
        <v>14</v>
      </c>
      <c r="E205" s="2">
        <v>10</v>
      </c>
      <c r="F205" s="2">
        <v>3.6</v>
      </c>
      <c r="G205" s="2">
        <v>4.2123022847100096</v>
      </c>
      <c r="H205" s="2">
        <v>4.2123022847100096</v>
      </c>
      <c r="I205" s="2">
        <v>4.0369489684883799</v>
      </c>
      <c r="J205" s="2">
        <v>3.82794246583595</v>
      </c>
      <c r="K205" s="2">
        <v>3.4620983336382598</v>
      </c>
      <c r="L205" s="2">
        <v>3.4955193484051801</v>
      </c>
      <c r="M205">
        <f>products_final_scores_scenarios[[#This Row],[rating_raw]]*products_final_scores_scenarios[[#This Row],[reviews_count]]</f>
        <v>36</v>
      </c>
      <c r="N205">
        <f>products_final_scores_scenarios[[#This Row],[rating_smoothed]]*products_final_scores_scenarios[[#This Row],[reviews_count]]</f>
        <v>42.123022847100096</v>
      </c>
      <c r="O205">
        <f>products_final_scores_scenarios[[#This Row],[final_score__balanced]]*products_final_scores_scenarios[[#This Row],[reviews_count]]</f>
        <v>38.279424658359503</v>
      </c>
    </row>
    <row r="206" spans="1:15" x14ac:dyDescent="0.3">
      <c r="A206" s="2" t="s">
        <v>260</v>
      </c>
      <c r="B206" s="2" t="s">
        <v>261</v>
      </c>
      <c r="C206" s="2">
        <v>4</v>
      </c>
      <c r="D206" s="2" t="s">
        <v>22</v>
      </c>
      <c r="E206" s="2">
        <v>30</v>
      </c>
      <c r="F206" s="2">
        <v>4.5333333333333297</v>
      </c>
      <c r="G206" s="2">
        <v>4.54059419311276</v>
      </c>
      <c r="H206" s="2">
        <v>4.54059419311276</v>
      </c>
      <c r="I206" s="2">
        <v>4.4555288634166601</v>
      </c>
      <c r="J206" s="2">
        <v>4.3243588653013001</v>
      </c>
      <c r="K206" s="2">
        <v>4.0081993402321601</v>
      </c>
      <c r="L206" s="2">
        <v>3.6614995409805702</v>
      </c>
      <c r="M206">
        <f>products_final_scores_scenarios[[#This Row],[rating_raw]]*products_final_scores_scenarios[[#This Row],[reviews_count]]</f>
        <v>135.99999999999989</v>
      </c>
      <c r="N206">
        <f>products_final_scores_scenarios[[#This Row],[rating_smoothed]]*products_final_scores_scenarios[[#This Row],[reviews_count]]</f>
        <v>136.21782579338281</v>
      </c>
      <c r="O206">
        <f>products_final_scores_scenarios[[#This Row],[final_score__balanced]]*products_final_scores_scenarios[[#This Row],[reviews_count]]</f>
        <v>129.73076595903899</v>
      </c>
    </row>
    <row r="207" spans="1:15" x14ac:dyDescent="0.3">
      <c r="A207" s="2" t="s">
        <v>262</v>
      </c>
      <c r="B207" s="2" t="s">
        <v>263</v>
      </c>
      <c r="C207" s="2">
        <v>314</v>
      </c>
      <c r="D207" s="2" t="s">
        <v>41</v>
      </c>
      <c r="E207" s="2">
        <v>204</v>
      </c>
      <c r="F207" s="2">
        <v>4.4705882352941098</v>
      </c>
      <c r="G207" s="2">
        <v>4.4710658865785504</v>
      </c>
      <c r="H207" s="2">
        <v>4.4710658865785504</v>
      </c>
      <c r="I207" s="2">
        <v>4.3510987467133999</v>
      </c>
      <c r="J207" s="2">
        <v>4.1678975906543902</v>
      </c>
      <c r="K207" s="2">
        <v>3.7569131771345701</v>
      </c>
      <c r="L207" s="2">
        <v>3.3068948864041499</v>
      </c>
      <c r="M207">
        <f>products_final_scores_scenarios[[#This Row],[rating_raw]]*products_final_scores_scenarios[[#This Row],[reviews_count]]</f>
        <v>911.99999999999841</v>
      </c>
      <c r="N207">
        <f>products_final_scores_scenarios[[#This Row],[rating_smoothed]]*products_final_scores_scenarios[[#This Row],[reviews_count]]</f>
        <v>912.09744086202431</v>
      </c>
      <c r="O207">
        <f>products_final_scores_scenarios[[#This Row],[final_score__balanced]]*products_final_scores_scenarios[[#This Row],[reviews_count]]</f>
        <v>850.25110849349562</v>
      </c>
    </row>
    <row r="208" spans="1:15" x14ac:dyDescent="0.3">
      <c r="A208" s="2" t="s">
        <v>264</v>
      </c>
      <c r="B208" s="2" t="s">
        <v>263</v>
      </c>
      <c r="C208" s="2">
        <v>314</v>
      </c>
      <c r="D208" s="2" t="s">
        <v>41</v>
      </c>
      <c r="E208" s="2">
        <v>210</v>
      </c>
      <c r="F208" s="2">
        <v>4.6428571428571397</v>
      </c>
      <c r="G208" s="2">
        <v>4.6283424286678096</v>
      </c>
      <c r="H208" s="2">
        <v>4.6283424286678096</v>
      </c>
      <c r="I208" s="2">
        <v>4.5555173371997899</v>
      </c>
      <c r="J208" s="2">
        <v>4.4407170174992503</v>
      </c>
      <c r="K208" s="2">
        <v>4.1527619556632898</v>
      </c>
      <c r="L208" s="2">
        <v>3.83211784169016</v>
      </c>
      <c r="M208">
        <f>products_final_scores_scenarios[[#This Row],[rating_raw]]*products_final_scores_scenarios[[#This Row],[reviews_count]]</f>
        <v>974.99999999999932</v>
      </c>
      <c r="N208">
        <f>products_final_scores_scenarios[[#This Row],[rating_smoothed]]*products_final_scores_scenarios[[#This Row],[reviews_count]]</f>
        <v>971.95191002024001</v>
      </c>
      <c r="O208">
        <f>products_final_scores_scenarios[[#This Row],[final_score__balanced]]*products_final_scores_scenarios[[#This Row],[reviews_count]]</f>
        <v>932.55057367484255</v>
      </c>
    </row>
    <row r="209" spans="1:15" x14ac:dyDescent="0.3">
      <c r="A209" s="2" t="s">
        <v>265</v>
      </c>
      <c r="B209" s="2" t="s">
        <v>263</v>
      </c>
      <c r="C209" s="2">
        <v>314</v>
      </c>
      <c r="D209" s="2" t="s">
        <v>41</v>
      </c>
      <c r="E209" s="2">
        <v>108</v>
      </c>
      <c r="F209" s="2">
        <v>4.6388888888888804</v>
      </c>
      <c r="G209" s="2">
        <v>4.6134278015124703</v>
      </c>
      <c r="H209" s="2">
        <v>4.6134278015124703</v>
      </c>
      <c r="I209" s="2">
        <v>4.4607698142713303</v>
      </c>
      <c r="J209" s="2">
        <v>4.2314852897621398</v>
      </c>
      <c r="K209" s="2">
        <v>3.7480096232414701</v>
      </c>
      <c r="L209" s="2">
        <v>3.22343956472116</v>
      </c>
      <c r="M209">
        <f>products_final_scores_scenarios[[#This Row],[rating_raw]]*products_final_scores_scenarios[[#This Row],[reviews_count]]</f>
        <v>500.99999999999909</v>
      </c>
      <c r="N209">
        <f>products_final_scores_scenarios[[#This Row],[rating_smoothed]]*products_final_scores_scenarios[[#This Row],[reviews_count]]</f>
        <v>498.25020256334682</v>
      </c>
      <c r="O209">
        <f>products_final_scores_scenarios[[#This Row],[final_score__balanced]]*products_final_scores_scenarios[[#This Row],[reviews_count]]</f>
        <v>457.00041129431111</v>
      </c>
    </row>
    <row r="210" spans="1:15" x14ac:dyDescent="0.3">
      <c r="A210" s="2" t="s">
        <v>266</v>
      </c>
      <c r="B210" s="2" t="s">
        <v>263</v>
      </c>
      <c r="C210" s="2">
        <v>314</v>
      </c>
      <c r="D210" s="2" t="s">
        <v>41</v>
      </c>
      <c r="E210" s="2">
        <v>108</v>
      </c>
      <c r="F210" s="2">
        <v>4.6388888888888804</v>
      </c>
      <c r="G210" s="2">
        <v>4.6134278015124703</v>
      </c>
      <c r="H210" s="2">
        <v>4.6134278015124703</v>
      </c>
      <c r="I210" s="2">
        <v>4.4607698142713303</v>
      </c>
      <c r="J210" s="2">
        <v>4.2314852897621398</v>
      </c>
      <c r="K210" s="2">
        <v>3.7480096232414701</v>
      </c>
      <c r="L210" s="2">
        <v>3.22343956472116</v>
      </c>
      <c r="M210">
        <f>products_final_scores_scenarios[[#This Row],[rating_raw]]*products_final_scores_scenarios[[#This Row],[reviews_count]]</f>
        <v>500.99999999999909</v>
      </c>
      <c r="N210">
        <f>products_final_scores_scenarios[[#This Row],[rating_smoothed]]*products_final_scores_scenarios[[#This Row],[reviews_count]]</f>
        <v>498.25020256334682</v>
      </c>
      <c r="O210">
        <f>products_final_scores_scenarios[[#This Row],[final_score__balanced]]*products_final_scores_scenarios[[#This Row],[reviews_count]]</f>
        <v>457.00041129431111</v>
      </c>
    </row>
    <row r="211" spans="1:15" x14ac:dyDescent="0.3">
      <c r="A211" s="2" t="s">
        <v>267</v>
      </c>
      <c r="B211" s="2" t="s">
        <v>263</v>
      </c>
      <c r="C211" s="2">
        <v>314</v>
      </c>
      <c r="D211" s="2" t="s">
        <v>41</v>
      </c>
      <c r="E211" s="2">
        <v>75</v>
      </c>
      <c r="F211" s="2">
        <v>4.68</v>
      </c>
      <c r="G211" s="2">
        <v>4.6370395641431204</v>
      </c>
      <c r="H211" s="2">
        <v>4.6370395641431204</v>
      </c>
      <c r="I211" s="2">
        <v>4.53758222899397</v>
      </c>
      <c r="J211" s="2">
        <v>4.3860832954792599</v>
      </c>
      <c r="K211" s="2">
        <v>4.0355762948979601</v>
      </c>
      <c r="L211" s="2">
        <v>3.6535632020072502</v>
      </c>
      <c r="M211">
        <f>products_final_scores_scenarios[[#This Row],[rating_raw]]*products_final_scores_scenarios[[#This Row],[reviews_count]]</f>
        <v>351</v>
      </c>
      <c r="N211">
        <f>products_final_scores_scenarios[[#This Row],[rating_smoothed]]*products_final_scores_scenarios[[#This Row],[reviews_count]]</f>
        <v>347.77796731073403</v>
      </c>
      <c r="O211">
        <f>products_final_scores_scenarios[[#This Row],[final_score__balanced]]*products_final_scores_scenarios[[#This Row],[reviews_count]]</f>
        <v>328.95624716094449</v>
      </c>
    </row>
    <row r="212" spans="1:15" x14ac:dyDescent="0.3">
      <c r="A212" s="2" t="s">
        <v>268</v>
      </c>
      <c r="B212" s="2" t="s">
        <v>263</v>
      </c>
      <c r="C212" s="2">
        <v>314</v>
      </c>
      <c r="D212" s="2" t="s">
        <v>41</v>
      </c>
      <c r="E212" s="2">
        <v>201</v>
      </c>
      <c r="F212" s="2">
        <v>4.7761194029850698</v>
      </c>
      <c r="G212" s="2">
        <v>4.7489536587945498</v>
      </c>
      <c r="H212" s="2">
        <v>4.7489536587945498</v>
      </c>
      <c r="I212" s="2">
        <v>4.6283241355848599</v>
      </c>
      <c r="J212" s="2">
        <v>4.4408506652803403</v>
      </c>
      <c r="K212" s="2">
        <v>4.0179769365448896</v>
      </c>
      <c r="L212" s="2">
        <v>3.54890625823462</v>
      </c>
      <c r="M212">
        <f>products_final_scores_scenarios[[#This Row],[rating_raw]]*products_final_scores_scenarios[[#This Row],[reviews_count]]</f>
        <v>959.99999999999898</v>
      </c>
      <c r="N212">
        <f>products_final_scores_scenarios[[#This Row],[rating_smoothed]]*products_final_scores_scenarios[[#This Row],[reviews_count]]</f>
        <v>954.5396854177045</v>
      </c>
      <c r="O212">
        <f>products_final_scores_scenarios[[#This Row],[final_score__balanced]]*products_final_scores_scenarios[[#This Row],[reviews_count]]</f>
        <v>892.61098372134836</v>
      </c>
    </row>
    <row r="213" spans="1:15" x14ac:dyDescent="0.3">
      <c r="A213" s="2" t="s">
        <v>269</v>
      </c>
      <c r="B213" s="2" t="s">
        <v>263</v>
      </c>
      <c r="C213" s="2">
        <v>314</v>
      </c>
      <c r="D213" s="2" t="s">
        <v>41</v>
      </c>
      <c r="E213" s="2">
        <v>188</v>
      </c>
      <c r="F213" s="2">
        <v>4.5957446808510598</v>
      </c>
      <c r="G213" s="2">
        <v>4.58422480093075</v>
      </c>
      <c r="H213" s="2">
        <v>4.58422480093075</v>
      </c>
      <c r="I213" s="2">
        <v>4.4786110336535003</v>
      </c>
      <c r="J213" s="2">
        <v>4.3205535998616096</v>
      </c>
      <c r="K213" s="2">
        <v>3.9624834975899699</v>
      </c>
      <c r="L213" s="2">
        <v>3.5773231233219498</v>
      </c>
      <c r="M213">
        <f>products_final_scores_scenarios[[#This Row],[rating_raw]]*products_final_scores_scenarios[[#This Row],[reviews_count]]</f>
        <v>863.9999999999992</v>
      </c>
      <c r="N213">
        <f>products_final_scores_scenarios[[#This Row],[rating_smoothed]]*products_final_scores_scenarios[[#This Row],[reviews_count]]</f>
        <v>861.83426257498104</v>
      </c>
      <c r="O213">
        <f>products_final_scores_scenarios[[#This Row],[final_score__balanced]]*products_final_scores_scenarios[[#This Row],[reviews_count]]</f>
        <v>812.26407677398265</v>
      </c>
    </row>
    <row r="214" spans="1:15" x14ac:dyDescent="0.3">
      <c r="A214" s="2" t="s">
        <v>270</v>
      </c>
      <c r="B214" s="2" t="s">
        <v>263</v>
      </c>
      <c r="C214" s="2">
        <v>314</v>
      </c>
      <c r="D214" s="2" t="s">
        <v>41</v>
      </c>
      <c r="E214" s="2">
        <v>284</v>
      </c>
      <c r="F214" s="2">
        <v>4.7042253521126698</v>
      </c>
      <c r="G214" s="2">
        <v>4.6892064427420896</v>
      </c>
      <c r="H214" s="2">
        <v>4.6892064427420896</v>
      </c>
      <c r="I214" s="2">
        <v>4.58296531899735</v>
      </c>
      <c r="J214" s="2">
        <v>4.4201663872405703</v>
      </c>
      <c r="K214" s="2">
        <v>4.0464106577636603</v>
      </c>
      <c r="L214" s="2">
        <v>3.6367152910846801</v>
      </c>
      <c r="M214">
        <f>products_final_scores_scenarios[[#This Row],[rating_raw]]*products_final_scores_scenarios[[#This Row],[reviews_count]]</f>
        <v>1335.9999999999982</v>
      </c>
      <c r="N214">
        <f>products_final_scores_scenarios[[#This Row],[rating_smoothed]]*products_final_scores_scenarios[[#This Row],[reviews_count]]</f>
        <v>1331.7346297387535</v>
      </c>
      <c r="O214">
        <f>products_final_scores_scenarios[[#This Row],[final_score__balanced]]*products_final_scores_scenarios[[#This Row],[reviews_count]]</f>
        <v>1255.327253976322</v>
      </c>
    </row>
    <row r="215" spans="1:15" x14ac:dyDescent="0.3">
      <c r="A215" s="2" t="s">
        <v>271</v>
      </c>
      <c r="B215" s="2" t="s">
        <v>263</v>
      </c>
      <c r="C215" s="2">
        <v>314</v>
      </c>
      <c r="D215" s="2" t="s">
        <v>41</v>
      </c>
      <c r="E215" s="2">
        <v>272</v>
      </c>
      <c r="F215" s="2">
        <v>4.7205882352941098</v>
      </c>
      <c r="G215" s="2">
        <v>4.7038313650465602</v>
      </c>
      <c r="H215" s="2">
        <v>4.7038313650465602</v>
      </c>
      <c r="I215" s="2">
        <v>4.6290267056377399</v>
      </c>
      <c r="J215" s="2">
        <v>4.5101975155652498</v>
      </c>
      <c r="K215" s="2">
        <v>4.2125617352558704</v>
      </c>
      <c r="L215" s="2">
        <v>3.8787800571908901</v>
      </c>
      <c r="M215">
        <f>products_final_scores_scenarios[[#This Row],[rating_raw]]*products_final_scores_scenarios[[#This Row],[reviews_count]]</f>
        <v>1283.999999999998</v>
      </c>
      <c r="N215">
        <f>products_final_scores_scenarios[[#This Row],[rating_smoothed]]*products_final_scores_scenarios[[#This Row],[reviews_count]]</f>
        <v>1279.4421312926643</v>
      </c>
      <c r="O215">
        <f>products_final_scores_scenarios[[#This Row],[final_score__balanced]]*products_final_scores_scenarios[[#This Row],[reviews_count]]</f>
        <v>1226.773724233748</v>
      </c>
    </row>
    <row r="216" spans="1:15" x14ac:dyDescent="0.3">
      <c r="A216" s="2" t="s">
        <v>272</v>
      </c>
      <c r="B216" s="2" t="s">
        <v>263</v>
      </c>
      <c r="C216" s="2">
        <v>314</v>
      </c>
      <c r="D216" s="2" t="s">
        <v>41</v>
      </c>
      <c r="E216" s="2">
        <v>272</v>
      </c>
      <c r="F216" s="2">
        <v>4.7205882352941098</v>
      </c>
      <c r="G216" s="2">
        <v>4.7038313650465602</v>
      </c>
      <c r="H216" s="2">
        <v>4.7038313650465602</v>
      </c>
      <c r="I216" s="2">
        <v>4.6290267056377399</v>
      </c>
      <c r="J216" s="2">
        <v>4.5101975155652498</v>
      </c>
      <c r="K216" s="2">
        <v>4.2125617352558704</v>
      </c>
      <c r="L216" s="2">
        <v>3.8787800571908901</v>
      </c>
      <c r="M216">
        <f>products_final_scores_scenarios[[#This Row],[rating_raw]]*products_final_scores_scenarios[[#This Row],[reviews_count]]</f>
        <v>1283.999999999998</v>
      </c>
      <c r="N216">
        <f>products_final_scores_scenarios[[#This Row],[rating_smoothed]]*products_final_scores_scenarios[[#This Row],[reviews_count]]</f>
        <v>1279.4421312926643</v>
      </c>
      <c r="O216">
        <f>products_final_scores_scenarios[[#This Row],[final_score__balanced]]*products_final_scores_scenarios[[#This Row],[reviews_count]]</f>
        <v>1226.773724233748</v>
      </c>
    </row>
    <row r="217" spans="1:15" x14ac:dyDescent="0.3">
      <c r="A217" s="2" t="s">
        <v>273</v>
      </c>
      <c r="B217" s="2" t="s">
        <v>263</v>
      </c>
      <c r="C217" s="2">
        <v>314</v>
      </c>
      <c r="D217" s="2" t="s">
        <v>41</v>
      </c>
      <c r="E217" s="2">
        <v>7</v>
      </c>
      <c r="F217" s="2">
        <v>4.4285714285714199</v>
      </c>
      <c r="G217" s="2">
        <v>4.4636577256887602</v>
      </c>
      <c r="H217" s="2">
        <v>4.4636577256887602</v>
      </c>
      <c r="I217" s="2">
        <v>4.4115942666585104</v>
      </c>
      <c r="J217" s="2">
        <v>4.3287298937715404</v>
      </c>
      <c r="K217" s="2">
        <v>4.1198596401096896</v>
      </c>
      <c r="L217" s="2">
        <v>4.0781339632193401</v>
      </c>
      <c r="M217">
        <f>products_final_scores_scenarios[[#This Row],[rating_raw]]*products_final_scores_scenarios[[#This Row],[reviews_count]]</f>
        <v>30.99999999999994</v>
      </c>
      <c r="N217">
        <f>products_final_scores_scenarios[[#This Row],[rating_smoothed]]*products_final_scores_scenarios[[#This Row],[reviews_count]]</f>
        <v>31.245604079821319</v>
      </c>
      <c r="O217">
        <f>products_final_scores_scenarios[[#This Row],[final_score__balanced]]*products_final_scores_scenarios[[#This Row],[reviews_count]]</f>
        <v>30.301109256400782</v>
      </c>
    </row>
    <row r="218" spans="1:15" x14ac:dyDescent="0.3">
      <c r="A218" s="2" t="s">
        <v>274</v>
      </c>
      <c r="B218" s="2" t="s">
        <v>263</v>
      </c>
      <c r="C218" s="2">
        <v>314</v>
      </c>
      <c r="D218" s="2" t="s">
        <v>41</v>
      </c>
      <c r="E218" s="2">
        <v>7</v>
      </c>
      <c r="F218" s="2">
        <v>4.4285714285714199</v>
      </c>
      <c r="G218" s="2">
        <v>4.4636577256887602</v>
      </c>
      <c r="H218" s="2">
        <v>4.4636577256887602</v>
      </c>
      <c r="I218" s="2">
        <v>4.4115942666585104</v>
      </c>
      <c r="J218" s="2">
        <v>4.3287298937715404</v>
      </c>
      <c r="K218" s="2">
        <v>4.1198596401096896</v>
      </c>
      <c r="L218" s="2">
        <v>4.0781339632193401</v>
      </c>
      <c r="M218">
        <f>products_final_scores_scenarios[[#This Row],[rating_raw]]*products_final_scores_scenarios[[#This Row],[reviews_count]]</f>
        <v>30.99999999999994</v>
      </c>
      <c r="N218">
        <f>products_final_scores_scenarios[[#This Row],[rating_smoothed]]*products_final_scores_scenarios[[#This Row],[reviews_count]]</f>
        <v>31.245604079821319</v>
      </c>
      <c r="O218">
        <f>products_final_scores_scenarios[[#This Row],[final_score__balanced]]*products_final_scores_scenarios[[#This Row],[reviews_count]]</f>
        <v>30.301109256400782</v>
      </c>
    </row>
    <row r="219" spans="1:15" x14ac:dyDescent="0.3">
      <c r="A219" s="2" t="s">
        <v>275</v>
      </c>
      <c r="B219" s="2" t="s">
        <v>263</v>
      </c>
      <c r="C219" s="2">
        <v>314</v>
      </c>
      <c r="D219" s="2" t="s">
        <v>41</v>
      </c>
      <c r="E219" s="2">
        <v>4</v>
      </c>
      <c r="F219" s="2">
        <v>4.75</v>
      </c>
      <c r="G219" s="2">
        <v>4.5216149413998501</v>
      </c>
      <c r="H219" s="2">
        <v>4.5216149413998501</v>
      </c>
      <c r="I219" s="2">
        <v>4.5216149413998501</v>
      </c>
      <c r="J219" s="2">
        <v>4.5216149413998501</v>
      </c>
      <c r="K219" s="2">
        <v>4.5216149413998501</v>
      </c>
      <c r="L219" s="2">
        <v>4.5216149413998501</v>
      </c>
      <c r="M219">
        <f>products_final_scores_scenarios[[#This Row],[rating_raw]]*products_final_scores_scenarios[[#This Row],[reviews_count]]</f>
        <v>19</v>
      </c>
      <c r="N219">
        <f>products_final_scores_scenarios[[#This Row],[rating_smoothed]]*products_final_scores_scenarios[[#This Row],[reviews_count]]</f>
        <v>18.0864597655994</v>
      </c>
      <c r="O219">
        <f>products_final_scores_scenarios[[#This Row],[final_score__balanced]]*products_final_scores_scenarios[[#This Row],[reviews_count]]</f>
        <v>18.0864597655994</v>
      </c>
    </row>
    <row r="220" spans="1:15" x14ac:dyDescent="0.3">
      <c r="A220" s="2" t="s">
        <v>276</v>
      </c>
      <c r="B220" s="2" t="s">
        <v>263</v>
      </c>
      <c r="C220" s="2">
        <v>314</v>
      </c>
      <c r="D220" s="2" t="s">
        <v>41</v>
      </c>
      <c r="E220" s="2">
        <v>21</v>
      </c>
      <c r="F220" s="2">
        <v>4.5714285714285703</v>
      </c>
      <c r="G220" s="2">
        <v>4.5248477705755201</v>
      </c>
      <c r="H220" s="2">
        <v>4.5248477705755201</v>
      </c>
      <c r="I220" s="2">
        <v>4.5248477705755201</v>
      </c>
      <c r="J220" s="2">
        <v>4.5248477705755201</v>
      </c>
      <c r="K220" s="2">
        <v>4.5248477705755201</v>
      </c>
      <c r="L220" s="2">
        <v>4.5248477705755201</v>
      </c>
      <c r="M220">
        <f>products_final_scores_scenarios[[#This Row],[rating_raw]]*products_final_scores_scenarios[[#This Row],[reviews_count]]</f>
        <v>95.999999999999972</v>
      </c>
      <c r="N220">
        <f>products_final_scores_scenarios[[#This Row],[rating_smoothed]]*products_final_scores_scenarios[[#This Row],[reviews_count]]</f>
        <v>95.021803182085918</v>
      </c>
      <c r="O220">
        <f>products_final_scores_scenarios[[#This Row],[final_score__balanced]]*products_final_scores_scenarios[[#This Row],[reviews_count]]</f>
        <v>95.021803182085918</v>
      </c>
    </row>
    <row r="221" spans="1:15" x14ac:dyDescent="0.3">
      <c r="A221" s="2" t="s">
        <v>277</v>
      </c>
      <c r="B221" s="2" t="s">
        <v>263</v>
      </c>
      <c r="C221" s="2">
        <v>314</v>
      </c>
      <c r="D221" s="2" t="s">
        <v>41</v>
      </c>
      <c r="E221" s="2">
        <v>207</v>
      </c>
      <c r="F221" s="2">
        <v>4.6521739130434696</v>
      </c>
      <c r="G221" s="2">
        <v>4.63664651362817</v>
      </c>
      <c r="H221" s="2">
        <v>4.63664651362817</v>
      </c>
      <c r="I221" s="2">
        <v>4.5617375035328003</v>
      </c>
      <c r="J221" s="2">
        <v>4.4437802680654004</v>
      </c>
      <c r="K221" s="2">
        <v>4.1488499284848697</v>
      </c>
      <c r="L221" s="2">
        <v>3.8206382855845802</v>
      </c>
      <c r="M221">
        <f>products_final_scores_scenarios[[#This Row],[rating_raw]]*products_final_scores_scenarios[[#This Row],[reviews_count]]</f>
        <v>962.99999999999818</v>
      </c>
      <c r="N221">
        <f>products_final_scores_scenarios[[#This Row],[rating_smoothed]]*products_final_scores_scenarios[[#This Row],[reviews_count]]</f>
        <v>959.7858283210312</v>
      </c>
      <c r="O221">
        <f>products_final_scores_scenarios[[#This Row],[final_score__balanced]]*products_final_scores_scenarios[[#This Row],[reviews_count]]</f>
        <v>919.86251548953783</v>
      </c>
    </row>
    <row r="222" spans="1:15" x14ac:dyDescent="0.3">
      <c r="A222" s="2" t="s">
        <v>278</v>
      </c>
      <c r="B222" s="2" t="s">
        <v>263</v>
      </c>
      <c r="C222" s="2">
        <v>314</v>
      </c>
      <c r="D222" s="2" t="s">
        <v>41</v>
      </c>
      <c r="E222" s="2">
        <v>276</v>
      </c>
      <c r="F222" s="2">
        <v>4.6521739130434696</v>
      </c>
      <c r="G222" s="2">
        <v>4.6402660763297101</v>
      </c>
      <c r="H222" s="2">
        <v>4.6402660763297101</v>
      </c>
      <c r="I222" s="2">
        <v>4.5653570662343403</v>
      </c>
      <c r="J222" s="2">
        <v>4.4473998307669396</v>
      </c>
      <c r="K222" s="2">
        <v>4.1524694911864097</v>
      </c>
      <c r="L222" s="2">
        <v>3.8242578482861198</v>
      </c>
      <c r="M222">
        <f>products_final_scores_scenarios[[#This Row],[rating_raw]]*products_final_scores_scenarios[[#This Row],[reviews_count]]</f>
        <v>1283.9999999999977</v>
      </c>
      <c r="N222">
        <f>products_final_scores_scenarios[[#This Row],[rating_smoothed]]*products_final_scores_scenarios[[#This Row],[reviews_count]]</f>
        <v>1280.7134370670001</v>
      </c>
      <c r="O222">
        <f>products_final_scores_scenarios[[#This Row],[final_score__balanced]]*products_final_scores_scenarios[[#This Row],[reviews_count]]</f>
        <v>1227.4823532916753</v>
      </c>
    </row>
    <row r="223" spans="1:15" x14ac:dyDescent="0.3">
      <c r="A223" s="2" t="s">
        <v>279</v>
      </c>
      <c r="B223" s="2" t="s">
        <v>263</v>
      </c>
      <c r="C223" s="2">
        <v>314</v>
      </c>
      <c r="D223" s="2" t="s">
        <v>41</v>
      </c>
      <c r="E223" s="2">
        <v>34</v>
      </c>
      <c r="F223" s="2">
        <v>4.7647058823529402</v>
      </c>
      <c r="G223" s="2">
        <v>4.6577547887703004</v>
      </c>
      <c r="H223" s="2">
        <v>4.6577547887703004</v>
      </c>
      <c r="I223" s="2">
        <v>4.62657954615067</v>
      </c>
      <c r="J223" s="2">
        <v>4.5714851259057196</v>
      </c>
      <c r="K223" s="2">
        <v>4.4006795452436203</v>
      </c>
      <c r="L223" s="2">
        <v>4.19408374090672</v>
      </c>
      <c r="M223">
        <f>products_final_scores_scenarios[[#This Row],[rating_raw]]*products_final_scores_scenarios[[#This Row],[reviews_count]]</f>
        <v>161.99999999999997</v>
      </c>
      <c r="N223">
        <f>products_final_scores_scenarios[[#This Row],[rating_smoothed]]*products_final_scores_scenarios[[#This Row],[reviews_count]]</f>
        <v>158.36366281819022</v>
      </c>
      <c r="O223">
        <f>products_final_scores_scenarios[[#This Row],[final_score__balanced]]*products_final_scores_scenarios[[#This Row],[reviews_count]]</f>
        <v>155.43049428079448</v>
      </c>
    </row>
    <row r="224" spans="1:15" x14ac:dyDescent="0.3">
      <c r="A224" s="2" t="s">
        <v>280</v>
      </c>
      <c r="B224" s="2" t="s">
        <v>263</v>
      </c>
      <c r="C224" s="2">
        <v>314</v>
      </c>
      <c r="D224" s="2" t="s">
        <v>41</v>
      </c>
      <c r="E224" s="2">
        <v>148</v>
      </c>
      <c r="F224" s="2">
        <v>4.7837837837837798</v>
      </c>
      <c r="G224" s="2">
        <v>4.7471354678190201</v>
      </c>
      <c r="H224" s="2">
        <v>4.7471354678190201</v>
      </c>
      <c r="I224" s="2">
        <v>4.7182359184936598</v>
      </c>
      <c r="J224" s="2">
        <v>4.6667389015394498</v>
      </c>
      <c r="K224" s="2">
        <v>4.5041874741460797</v>
      </c>
      <c r="L224" s="2">
        <v>4.3064219032870303</v>
      </c>
      <c r="M224">
        <f>products_final_scores_scenarios[[#This Row],[rating_raw]]*products_final_scores_scenarios[[#This Row],[reviews_count]]</f>
        <v>707.99999999999943</v>
      </c>
      <c r="N224">
        <f>products_final_scores_scenarios[[#This Row],[rating_smoothed]]*products_final_scores_scenarios[[#This Row],[reviews_count]]</f>
        <v>702.57604923721499</v>
      </c>
      <c r="O224">
        <f>products_final_scores_scenarios[[#This Row],[final_score__balanced]]*products_final_scores_scenarios[[#This Row],[reviews_count]]</f>
        <v>690.67735742783861</v>
      </c>
    </row>
    <row r="225" spans="1:15" x14ac:dyDescent="0.3">
      <c r="A225" s="2" t="s">
        <v>281</v>
      </c>
      <c r="B225" s="2" t="s">
        <v>263</v>
      </c>
      <c r="C225" s="2">
        <v>314</v>
      </c>
      <c r="D225" s="2" t="s">
        <v>41</v>
      </c>
      <c r="E225" s="2">
        <v>148</v>
      </c>
      <c r="F225" s="2">
        <v>4.7837837837837798</v>
      </c>
      <c r="G225" s="2">
        <v>4.7471354678190201</v>
      </c>
      <c r="H225" s="2">
        <v>4.7471354678190201</v>
      </c>
      <c r="I225" s="2">
        <v>4.7182359184936598</v>
      </c>
      <c r="J225" s="2">
        <v>4.6667389015394498</v>
      </c>
      <c r="K225" s="2">
        <v>4.5041874741460797</v>
      </c>
      <c r="L225" s="2">
        <v>4.3064219032870303</v>
      </c>
      <c r="M225">
        <f>products_final_scores_scenarios[[#This Row],[rating_raw]]*products_final_scores_scenarios[[#This Row],[reviews_count]]</f>
        <v>707.99999999999943</v>
      </c>
      <c r="N225">
        <f>products_final_scores_scenarios[[#This Row],[rating_smoothed]]*products_final_scores_scenarios[[#This Row],[reviews_count]]</f>
        <v>702.57604923721499</v>
      </c>
      <c r="O225">
        <f>products_final_scores_scenarios[[#This Row],[final_score__balanced]]*products_final_scores_scenarios[[#This Row],[reviews_count]]</f>
        <v>690.67735742783861</v>
      </c>
    </row>
    <row r="226" spans="1:15" x14ac:dyDescent="0.3">
      <c r="A226" s="2" t="s">
        <v>282</v>
      </c>
      <c r="B226" s="2" t="s">
        <v>263</v>
      </c>
      <c r="C226" s="2">
        <v>314</v>
      </c>
      <c r="D226" s="2" t="s">
        <v>41</v>
      </c>
      <c r="E226" s="2">
        <v>207</v>
      </c>
      <c r="F226" s="2">
        <v>4.6521739130434696</v>
      </c>
      <c r="G226" s="2">
        <v>4.63664651362817</v>
      </c>
      <c r="H226" s="2">
        <v>4.63664651362817</v>
      </c>
      <c r="I226" s="2">
        <v>4.5617375035328003</v>
      </c>
      <c r="J226" s="2">
        <v>4.4437802680654004</v>
      </c>
      <c r="K226" s="2">
        <v>4.1488499284848697</v>
      </c>
      <c r="L226" s="2">
        <v>3.8206382855845802</v>
      </c>
      <c r="M226">
        <f>products_final_scores_scenarios[[#This Row],[rating_raw]]*products_final_scores_scenarios[[#This Row],[reviews_count]]</f>
        <v>962.99999999999818</v>
      </c>
      <c r="N226">
        <f>products_final_scores_scenarios[[#This Row],[rating_smoothed]]*products_final_scores_scenarios[[#This Row],[reviews_count]]</f>
        <v>959.7858283210312</v>
      </c>
      <c r="O226">
        <f>products_final_scores_scenarios[[#This Row],[final_score__balanced]]*products_final_scores_scenarios[[#This Row],[reviews_count]]</f>
        <v>919.86251548953783</v>
      </c>
    </row>
    <row r="227" spans="1:15" x14ac:dyDescent="0.3">
      <c r="A227" s="2" t="s">
        <v>283</v>
      </c>
      <c r="B227" s="2" t="s">
        <v>263</v>
      </c>
      <c r="C227" s="2">
        <v>314</v>
      </c>
      <c r="D227" s="2" t="s">
        <v>41</v>
      </c>
      <c r="E227" s="2">
        <v>207</v>
      </c>
      <c r="F227" s="2">
        <v>4.6521739130434696</v>
      </c>
      <c r="G227" s="2">
        <v>4.63664651362817</v>
      </c>
      <c r="H227" s="2">
        <v>4.63664651362817</v>
      </c>
      <c r="I227" s="2">
        <v>4.5617375035328003</v>
      </c>
      <c r="J227" s="2">
        <v>4.4437802680654004</v>
      </c>
      <c r="K227" s="2">
        <v>4.1488499284848697</v>
      </c>
      <c r="L227" s="2">
        <v>3.8206382855845802</v>
      </c>
      <c r="M227">
        <f>products_final_scores_scenarios[[#This Row],[rating_raw]]*products_final_scores_scenarios[[#This Row],[reviews_count]]</f>
        <v>962.99999999999818</v>
      </c>
      <c r="N227">
        <f>products_final_scores_scenarios[[#This Row],[rating_smoothed]]*products_final_scores_scenarios[[#This Row],[reviews_count]]</f>
        <v>959.7858283210312</v>
      </c>
      <c r="O227">
        <f>products_final_scores_scenarios[[#This Row],[final_score__balanced]]*products_final_scores_scenarios[[#This Row],[reviews_count]]</f>
        <v>919.86251548953783</v>
      </c>
    </row>
    <row r="228" spans="1:15" x14ac:dyDescent="0.3">
      <c r="A228" s="2" t="s">
        <v>284</v>
      </c>
      <c r="B228" s="2" t="s">
        <v>263</v>
      </c>
      <c r="C228" s="2">
        <v>314</v>
      </c>
      <c r="D228" s="2" t="s">
        <v>41</v>
      </c>
      <c r="E228" s="2">
        <v>138</v>
      </c>
      <c r="F228" s="2">
        <v>4.6521739130434696</v>
      </c>
      <c r="G228" s="2">
        <v>4.6298655607189598</v>
      </c>
      <c r="H228" s="2">
        <v>4.6298655607189598</v>
      </c>
      <c r="I228" s="2">
        <v>4.5549565506235901</v>
      </c>
      <c r="J228" s="2">
        <v>4.4369993151561902</v>
      </c>
      <c r="K228" s="2">
        <v>4.1420689755756603</v>
      </c>
      <c r="L228" s="2">
        <v>3.81385733267537</v>
      </c>
      <c r="M228">
        <f>products_final_scores_scenarios[[#This Row],[rating_raw]]*products_final_scores_scenarios[[#This Row],[reviews_count]]</f>
        <v>641.99999999999886</v>
      </c>
      <c r="N228">
        <f>products_final_scores_scenarios[[#This Row],[rating_smoothed]]*products_final_scores_scenarios[[#This Row],[reviews_count]]</f>
        <v>638.92144737921649</v>
      </c>
      <c r="O228">
        <f>products_final_scores_scenarios[[#This Row],[final_score__balanced]]*products_final_scores_scenarios[[#This Row],[reviews_count]]</f>
        <v>612.3059054915542</v>
      </c>
    </row>
    <row r="229" spans="1:15" x14ac:dyDescent="0.3">
      <c r="A229" s="2" t="s">
        <v>285</v>
      </c>
      <c r="B229" s="2" t="s">
        <v>263</v>
      </c>
      <c r="C229" s="2">
        <v>225</v>
      </c>
      <c r="D229" s="2" t="s">
        <v>35</v>
      </c>
      <c r="E229" s="2">
        <v>7</v>
      </c>
      <c r="F229" s="2">
        <v>4.2857142857142803</v>
      </c>
      <c r="G229" s="2">
        <v>4.4798924336878096</v>
      </c>
      <c r="H229" s="2">
        <v>4.4798924336878096</v>
      </c>
      <c r="I229" s="2">
        <v>4.4312998719262504</v>
      </c>
      <c r="J229" s="2">
        <v>4.3618305807602402</v>
      </c>
      <c r="K229" s="2">
        <v>4.1967645985050499</v>
      </c>
      <c r="L229" s="2">
        <v>4.1800406184338197</v>
      </c>
      <c r="M229">
        <f>products_final_scores_scenarios[[#This Row],[rating_raw]]*products_final_scores_scenarios[[#This Row],[reviews_count]]</f>
        <v>29.999999999999961</v>
      </c>
      <c r="N229">
        <f>products_final_scores_scenarios[[#This Row],[rating_smoothed]]*products_final_scores_scenarios[[#This Row],[reviews_count]]</f>
        <v>31.359247035814668</v>
      </c>
      <c r="O229">
        <f>products_final_scores_scenarios[[#This Row],[final_score__balanced]]*products_final_scores_scenarios[[#This Row],[reviews_count]]</f>
        <v>30.532814065321681</v>
      </c>
    </row>
    <row r="230" spans="1:15" x14ac:dyDescent="0.3">
      <c r="A230" s="2" t="s">
        <v>286</v>
      </c>
      <c r="B230" s="2" t="s">
        <v>263</v>
      </c>
      <c r="C230" s="2">
        <v>225</v>
      </c>
      <c r="D230" s="2" t="s">
        <v>35</v>
      </c>
      <c r="E230" s="2">
        <v>8</v>
      </c>
      <c r="F230" s="2">
        <v>4.875</v>
      </c>
      <c r="G230" s="2">
        <v>4.6413248467703898</v>
      </c>
      <c r="H230" s="2">
        <v>4.6413248467703898</v>
      </c>
      <c r="I230" s="2">
        <v>4.5890012092032304</v>
      </c>
      <c r="J230" s="2">
        <v>4.5049103557844496</v>
      </c>
      <c r="K230" s="2">
        <v>4.2866642296650497</v>
      </c>
      <c r="L230" s="2">
        <v>4.2406310040980104</v>
      </c>
      <c r="M230">
        <f>products_final_scores_scenarios[[#This Row],[rating_raw]]*products_final_scores_scenarios[[#This Row],[reviews_count]]</f>
        <v>39</v>
      </c>
      <c r="N230">
        <f>products_final_scores_scenarios[[#This Row],[rating_smoothed]]*products_final_scores_scenarios[[#This Row],[reviews_count]]</f>
        <v>37.130598774163118</v>
      </c>
      <c r="O230">
        <f>products_final_scores_scenarios[[#This Row],[final_score__balanced]]*products_final_scores_scenarios[[#This Row],[reviews_count]]</f>
        <v>36.039282846275597</v>
      </c>
    </row>
    <row r="231" spans="1:15" x14ac:dyDescent="0.3">
      <c r="A231" s="2" t="s">
        <v>287</v>
      </c>
      <c r="B231" s="2" t="s">
        <v>263</v>
      </c>
      <c r="C231" s="2">
        <v>225</v>
      </c>
      <c r="D231" s="2" t="s">
        <v>35</v>
      </c>
      <c r="E231" s="2">
        <v>5</v>
      </c>
      <c r="F231" s="2">
        <v>4.5999999999999996</v>
      </c>
      <c r="G231" s="2">
        <v>4.5582838283828302</v>
      </c>
      <c r="H231" s="2">
        <v>4.5582838283828302</v>
      </c>
      <c r="I231" s="2">
        <v>4.5582838283828302</v>
      </c>
      <c r="J231" s="2">
        <v>4.5582838283828302</v>
      </c>
      <c r="K231" s="2">
        <v>4.5582838283828302</v>
      </c>
      <c r="L231" s="2">
        <v>4.5582838283828302</v>
      </c>
      <c r="M231">
        <f>products_final_scores_scenarios[[#This Row],[rating_raw]]*products_final_scores_scenarios[[#This Row],[reviews_count]]</f>
        <v>23</v>
      </c>
      <c r="N231">
        <f>products_final_scores_scenarios[[#This Row],[rating_smoothed]]*products_final_scores_scenarios[[#This Row],[reviews_count]]</f>
        <v>22.791419141914151</v>
      </c>
      <c r="O231">
        <f>products_final_scores_scenarios[[#This Row],[final_score__balanced]]*products_final_scores_scenarios[[#This Row],[reviews_count]]</f>
        <v>22.791419141914151</v>
      </c>
    </row>
    <row r="232" spans="1:15" x14ac:dyDescent="0.3">
      <c r="A232" s="2" t="s">
        <v>288</v>
      </c>
      <c r="B232" s="2" t="s">
        <v>263</v>
      </c>
      <c r="C232" s="2">
        <v>225</v>
      </c>
      <c r="D232" s="2" t="s">
        <v>35</v>
      </c>
      <c r="E232" s="2">
        <v>28</v>
      </c>
      <c r="F232" s="2">
        <v>4.5357142857142803</v>
      </c>
      <c r="G232" s="2">
        <v>4.5407728272827201</v>
      </c>
      <c r="H232" s="2">
        <v>4.5407728272827201</v>
      </c>
      <c r="I232" s="2">
        <v>4.4853274249161101</v>
      </c>
      <c r="J232" s="2">
        <v>4.3950797586396897</v>
      </c>
      <c r="K232" s="2">
        <v>4.1527821606734596</v>
      </c>
      <c r="L232" s="2">
        <v>3.8771427191256298</v>
      </c>
      <c r="M232">
        <f>products_final_scores_scenarios[[#This Row],[rating_raw]]*products_final_scores_scenarios[[#This Row],[reviews_count]]</f>
        <v>126.99999999999984</v>
      </c>
      <c r="N232">
        <f>products_final_scores_scenarios[[#This Row],[rating_smoothed]]*products_final_scores_scenarios[[#This Row],[reviews_count]]</f>
        <v>127.14163916391617</v>
      </c>
      <c r="O232">
        <f>products_final_scores_scenarios[[#This Row],[final_score__balanced]]*products_final_scores_scenarios[[#This Row],[reviews_count]]</f>
        <v>123.06223324191131</v>
      </c>
    </row>
    <row r="233" spans="1:15" x14ac:dyDescent="0.3">
      <c r="A233" s="2" t="s">
        <v>289</v>
      </c>
      <c r="B233" s="2" t="s">
        <v>263</v>
      </c>
      <c r="C233" s="2">
        <v>225</v>
      </c>
      <c r="D233" s="2" t="s">
        <v>35</v>
      </c>
      <c r="E233" s="2">
        <v>1</v>
      </c>
      <c r="F233" s="2">
        <v>5</v>
      </c>
      <c r="G233" s="2">
        <v>4.5693855099795604</v>
      </c>
      <c r="H233" s="2">
        <v>4.5693855099795604</v>
      </c>
      <c r="I233" s="2">
        <v>4.5693855099795604</v>
      </c>
      <c r="J233" s="2">
        <v>4.5693855099795604</v>
      </c>
      <c r="K233" s="2">
        <v>4.5693855099795604</v>
      </c>
      <c r="L233" s="2">
        <v>4.5693855099795604</v>
      </c>
      <c r="M233">
        <f>products_final_scores_scenarios[[#This Row],[rating_raw]]*products_final_scores_scenarios[[#This Row],[reviews_count]]</f>
        <v>5</v>
      </c>
      <c r="N233">
        <f>products_final_scores_scenarios[[#This Row],[rating_smoothed]]*products_final_scores_scenarios[[#This Row],[reviews_count]]</f>
        <v>4.5693855099795604</v>
      </c>
      <c r="O233">
        <f>products_final_scores_scenarios[[#This Row],[final_score__balanced]]*products_final_scores_scenarios[[#This Row],[reviews_count]]</f>
        <v>4.5693855099795604</v>
      </c>
    </row>
    <row r="234" spans="1:15" x14ac:dyDescent="0.3">
      <c r="A234" s="2" t="s">
        <v>290</v>
      </c>
      <c r="B234" s="2" t="s">
        <v>263</v>
      </c>
      <c r="C234" s="2">
        <v>225</v>
      </c>
      <c r="D234" s="2" t="s">
        <v>35</v>
      </c>
      <c r="E234" s="2">
        <v>11</v>
      </c>
      <c r="F234" s="2">
        <v>5</v>
      </c>
      <c r="G234" s="2">
        <v>4.70829340998616</v>
      </c>
      <c r="H234" s="2">
        <v>4.70829340998616</v>
      </c>
      <c r="I234" s="2">
        <v>4.61420803250825</v>
      </c>
      <c r="J234" s="2">
        <v>4.4665523052054699</v>
      </c>
      <c r="K234" s="2">
        <v>4.1133699581318703</v>
      </c>
      <c r="L234" s="2">
        <v>3.98341097437708</v>
      </c>
      <c r="M234">
        <f>products_final_scores_scenarios[[#This Row],[rating_raw]]*products_final_scores_scenarios[[#This Row],[reviews_count]]</f>
        <v>55</v>
      </c>
      <c r="N234">
        <f>products_final_scores_scenarios[[#This Row],[rating_smoothed]]*products_final_scores_scenarios[[#This Row],[reviews_count]]</f>
        <v>51.791227509847758</v>
      </c>
      <c r="O234">
        <f>products_final_scores_scenarios[[#This Row],[final_score__balanced]]*products_final_scores_scenarios[[#This Row],[reviews_count]]</f>
        <v>49.13207535726017</v>
      </c>
    </row>
    <row r="235" spans="1:15" x14ac:dyDescent="0.3">
      <c r="A235" s="2" t="s">
        <v>291</v>
      </c>
      <c r="B235" s="2" t="s">
        <v>263</v>
      </c>
      <c r="C235" s="2">
        <v>225</v>
      </c>
      <c r="D235" s="2" t="s">
        <v>35</v>
      </c>
      <c r="E235" s="2">
        <v>36</v>
      </c>
      <c r="F235" s="2">
        <v>4.8888888888888804</v>
      </c>
      <c r="G235" s="2">
        <v>4.7670909948137599</v>
      </c>
      <c r="H235" s="2">
        <v>4.7670909948137599</v>
      </c>
      <c r="I235" s="2">
        <v>4.6806965193411703</v>
      </c>
      <c r="J235" s="2">
        <v>4.5444958044196104</v>
      </c>
      <c r="K235" s="2">
        <v>4.2125130230631402</v>
      </c>
      <c r="L235" s="2">
        <v>3.8417282030956699</v>
      </c>
      <c r="M235">
        <f>products_final_scores_scenarios[[#This Row],[rating_raw]]*products_final_scores_scenarios[[#This Row],[reviews_count]]</f>
        <v>175.99999999999969</v>
      </c>
      <c r="N235">
        <f>products_final_scores_scenarios[[#This Row],[rating_smoothed]]*products_final_scores_scenarios[[#This Row],[reviews_count]]</f>
        <v>171.61527581329534</v>
      </c>
      <c r="O235">
        <f>products_final_scores_scenarios[[#This Row],[final_score__balanced]]*products_final_scores_scenarios[[#This Row],[reviews_count]]</f>
        <v>163.60184895910598</v>
      </c>
    </row>
    <row r="236" spans="1:15" x14ac:dyDescent="0.3">
      <c r="A236" s="2" t="s">
        <v>292</v>
      </c>
      <c r="B236" s="2" t="s">
        <v>263</v>
      </c>
      <c r="C236" s="2">
        <v>225</v>
      </c>
      <c r="D236" s="2" t="s">
        <v>35</v>
      </c>
      <c r="E236" s="2">
        <v>3</v>
      </c>
      <c r="F236" s="2">
        <v>5</v>
      </c>
      <c r="G236" s="2">
        <v>4.6068302482422103</v>
      </c>
      <c r="H236" s="2">
        <v>4.6068302482422103</v>
      </c>
      <c r="I236" s="2">
        <v>4.6068302482422103</v>
      </c>
      <c r="J236" s="2">
        <v>4.6068302482422103</v>
      </c>
      <c r="K236" s="2">
        <v>4.6068302482422103</v>
      </c>
      <c r="L236" s="2">
        <v>4.6068302482422103</v>
      </c>
      <c r="M236">
        <f>products_final_scores_scenarios[[#This Row],[rating_raw]]*products_final_scores_scenarios[[#This Row],[reviews_count]]</f>
        <v>15</v>
      </c>
      <c r="N236">
        <f>products_final_scores_scenarios[[#This Row],[rating_smoothed]]*products_final_scores_scenarios[[#This Row],[reviews_count]]</f>
        <v>13.82049074472663</v>
      </c>
      <c r="O236">
        <f>products_final_scores_scenarios[[#This Row],[final_score__balanced]]*products_final_scores_scenarios[[#This Row],[reviews_count]]</f>
        <v>13.82049074472663</v>
      </c>
    </row>
    <row r="237" spans="1:15" x14ac:dyDescent="0.3">
      <c r="A237" s="2" t="s">
        <v>293</v>
      </c>
      <c r="B237" s="2" t="s">
        <v>263</v>
      </c>
      <c r="C237" s="2">
        <v>225</v>
      </c>
      <c r="D237" s="2" t="s">
        <v>35</v>
      </c>
      <c r="E237" s="2">
        <v>4</v>
      </c>
      <c r="F237" s="2">
        <v>5</v>
      </c>
      <c r="G237" s="2">
        <v>4.6232123212321197</v>
      </c>
      <c r="H237" s="2">
        <v>4.6232123212321197</v>
      </c>
      <c r="I237" s="2">
        <v>4.6232123212321197</v>
      </c>
      <c r="J237" s="2">
        <v>4.6232123212321197</v>
      </c>
      <c r="K237" s="2">
        <v>4.6232123212321197</v>
      </c>
      <c r="L237" s="2">
        <v>4.6232123212321197</v>
      </c>
      <c r="M237">
        <f>products_final_scores_scenarios[[#This Row],[rating_raw]]*products_final_scores_scenarios[[#This Row],[reviews_count]]</f>
        <v>20</v>
      </c>
      <c r="N237">
        <f>products_final_scores_scenarios[[#This Row],[rating_smoothed]]*products_final_scores_scenarios[[#This Row],[reviews_count]]</f>
        <v>18.492849284928479</v>
      </c>
      <c r="O237">
        <f>products_final_scores_scenarios[[#This Row],[final_score__balanced]]*products_final_scores_scenarios[[#This Row],[reviews_count]]</f>
        <v>18.492849284928479</v>
      </c>
    </row>
    <row r="238" spans="1:15" x14ac:dyDescent="0.3">
      <c r="A238" s="2" t="s">
        <v>294</v>
      </c>
      <c r="B238" s="2" t="s">
        <v>263</v>
      </c>
      <c r="C238" s="2">
        <v>225</v>
      </c>
      <c r="D238" s="2" t="s">
        <v>35</v>
      </c>
      <c r="E238" s="2">
        <v>8</v>
      </c>
      <c r="F238" s="2">
        <v>5</v>
      </c>
      <c r="G238" s="2">
        <v>4.6770391324846701</v>
      </c>
      <c r="H238" s="2">
        <v>4.6770391324846701</v>
      </c>
      <c r="I238" s="2">
        <v>4.6770391324846701</v>
      </c>
      <c r="J238" s="2">
        <v>4.6770391324846701</v>
      </c>
      <c r="K238" s="2">
        <v>4.6770391324846701</v>
      </c>
      <c r="L238" s="2">
        <v>4.6770391324846701</v>
      </c>
      <c r="M238">
        <f>products_final_scores_scenarios[[#This Row],[rating_raw]]*products_final_scores_scenarios[[#This Row],[reviews_count]]</f>
        <v>40</v>
      </c>
      <c r="N238">
        <f>products_final_scores_scenarios[[#This Row],[rating_smoothed]]*products_final_scores_scenarios[[#This Row],[reviews_count]]</f>
        <v>37.416313059877361</v>
      </c>
      <c r="O238">
        <f>products_final_scores_scenarios[[#This Row],[final_score__balanced]]*products_final_scores_scenarios[[#This Row],[reviews_count]]</f>
        <v>37.416313059877361</v>
      </c>
    </row>
    <row r="239" spans="1:15" x14ac:dyDescent="0.3">
      <c r="A239" s="2" t="s">
        <v>295</v>
      </c>
      <c r="B239" s="2" t="s">
        <v>263</v>
      </c>
      <c r="C239" s="2">
        <v>225</v>
      </c>
      <c r="D239" s="2" t="s">
        <v>35</v>
      </c>
      <c r="E239" s="2">
        <v>6</v>
      </c>
      <c r="F239" s="2">
        <v>3.5</v>
      </c>
      <c r="G239" s="2">
        <v>4.3060421426757998</v>
      </c>
      <c r="H239" s="2">
        <v>4.3060421426757998</v>
      </c>
      <c r="I239" s="2">
        <v>4.2018706464326403</v>
      </c>
      <c r="J239" s="2">
        <v>4.0402862088911604</v>
      </c>
      <c r="K239" s="2">
        <v>3.7008223688488102</v>
      </c>
      <c r="L239" s="2">
        <v>3.6517118375942301</v>
      </c>
      <c r="M239">
        <f>products_final_scores_scenarios[[#This Row],[rating_raw]]*products_final_scores_scenarios[[#This Row],[reviews_count]]</f>
        <v>21</v>
      </c>
      <c r="N239">
        <f>products_final_scores_scenarios[[#This Row],[rating_smoothed]]*products_final_scores_scenarios[[#This Row],[reviews_count]]</f>
        <v>25.836252856054799</v>
      </c>
      <c r="O239">
        <f>products_final_scores_scenarios[[#This Row],[final_score__balanced]]*products_final_scores_scenarios[[#This Row],[reviews_count]]</f>
        <v>24.241717253346962</v>
      </c>
    </row>
    <row r="240" spans="1:15" x14ac:dyDescent="0.3">
      <c r="A240" s="2" t="s">
        <v>296</v>
      </c>
      <c r="B240" s="2" t="s">
        <v>263</v>
      </c>
      <c r="C240" s="2">
        <v>225</v>
      </c>
      <c r="D240" s="2" t="s">
        <v>35</v>
      </c>
      <c r="E240" s="2">
        <v>1</v>
      </c>
      <c r="F240" s="2">
        <v>4</v>
      </c>
      <c r="G240" s="2">
        <v>4.52176646236052</v>
      </c>
      <c r="H240" s="2">
        <v>4.52176646236052</v>
      </c>
      <c r="I240" s="2">
        <v>4.52176646236052</v>
      </c>
      <c r="J240" s="2">
        <v>4.52176646236052</v>
      </c>
      <c r="K240" s="2">
        <v>4.52176646236052</v>
      </c>
      <c r="L240" s="2">
        <v>4.52176646236052</v>
      </c>
      <c r="M240">
        <f>products_final_scores_scenarios[[#This Row],[rating_raw]]*products_final_scores_scenarios[[#This Row],[reviews_count]]</f>
        <v>4</v>
      </c>
      <c r="N240">
        <f>products_final_scores_scenarios[[#This Row],[rating_smoothed]]*products_final_scores_scenarios[[#This Row],[reviews_count]]</f>
        <v>4.52176646236052</v>
      </c>
      <c r="O240">
        <f>products_final_scores_scenarios[[#This Row],[final_score__balanced]]*products_final_scores_scenarios[[#This Row],[reviews_count]]</f>
        <v>4.52176646236052</v>
      </c>
    </row>
    <row r="241" spans="1:15" x14ac:dyDescent="0.3">
      <c r="A241" s="2" t="s">
        <v>297</v>
      </c>
      <c r="B241" s="2" t="s">
        <v>298</v>
      </c>
      <c r="C241" s="2">
        <v>314</v>
      </c>
      <c r="D241" s="2" t="s">
        <v>41</v>
      </c>
      <c r="E241" s="2">
        <v>78</v>
      </c>
      <c r="F241" s="2">
        <v>3.07692307692307</v>
      </c>
      <c r="G241" s="2">
        <v>3.36243631217955</v>
      </c>
      <c r="H241" s="2">
        <v>3.36243631217955</v>
      </c>
      <c r="I241" s="2">
        <v>3.1995961289018102</v>
      </c>
      <c r="J241" s="2">
        <v>2.98055362833471</v>
      </c>
      <c r="K241" s="2">
        <v>2.5555147129721001</v>
      </c>
      <c r="L241" s="2">
        <v>2.13143041777372</v>
      </c>
      <c r="M241">
        <f>products_final_scores_scenarios[[#This Row],[rating_raw]]*products_final_scores_scenarios[[#This Row],[reviews_count]]</f>
        <v>239.99999999999946</v>
      </c>
      <c r="N241">
        <f>products_final_scores_scenarios[[#This Row],[rating_smoothed]]*products_final_scores_scenarios[[#This Row],[reviews_count]]</f>
        <v>262.2700323500049</v>
      </c>
      <c r="O241">
        <f>products_final_scores_scenarios[[#This Row],[final_score__balanced]]*products_final_scores_scenarios[[#This Row],[reviews_count]]</f>
        <v>232.48318301010738</v>
      </c>
    </row>
    <row r="242" spans="1:15" x14ac:dyDescent="0.3">
      <c r="A242" s="2" t="s">
        <v>299</v>
      </c>
      <c r="B242" s="2" t="s">
        <v>298</v>
      </c>
      <c r="C242" s="2">
        <v>314</v>
      </c>
      <c r="D242" s="2" t="s">
        <v>41</v>
      </c>
      <c r="E242" s="2">
        <v>268</v>
      </c>
      <c r="F242" s="2">
        <v>3.16417910447761</v>
      </c>
      <c r="G242" s="2">
        <v>3.2552734673388701</v>
      </c>
      <c r="H242" s="2">
        <v>3.2552734673388701</v>
      </c>
      <c r="I242" s="2">
        <v>3.0975911012421098</v>
      </c>
      <c r="J242" s="2">
        <v>2.87601530875585</v>
      </c>
      <c r="K242" s="2">
        <v>2.4309254560317699</v>
      </c>
      <c r="L242" s="2">
        <v>1.97091898126983</v>
      </c>
      <c r="M242">
        <f>products_final_scores_scenarios[[#This Row],[rating_raw]]*products_final_scores_scenarios[[#This Row],[reviews_count]]</f>
        <v>847.99999999999943</v>
      </c>
      <c r="N242">
        <f>products_final_scores_scenarios[[#This Row],[rating_smoothed]]*products_final_scores_scenarios[[#This Row],[reviews_count]]</f>
        <v>872.41328924681716</v>
      </c>
      <c r="O242">
        <f>products_final_scores_scenarios[[#This Row],[final_score__balanced]]*products_final_scores_scenarios[[#This Row],[reviews_count]]</f>
        <v>770.77210274656784</v>
      </c>
    </row>
    <row r="243" spans="1:15" x14ac:dyDescent="0.3">
      <c r="A243" s="2" t="s">
        <v>300</v>
      </c>
      <c r="B243" s="2" t="s">
        <v>298</v>
      </c>
      <c r="C243" s="2">
        <v>314</v>
      </c>
      <c r="D243" s="2" t="s">
        <v>41</v>
      </c>
      <c r="E243" s="2">
        <v>30</v>
      </c>
      <c r="F243" s="2">
        <v>3.6</v>
      </c>
      <c r="G243" s="2">
        <v>3.9503751718719302</v>
      </c>
      <c r="H243" s="2">
        <v>3.9503751718719302</v>
      </c>
      <c r="I243" s="2">
        <v>3.89833958818443</v>
      </c>
      <c r="J243" s="2">
        <v>3.8151309527819102</v>
      </c>
      <c r="K243" s="2">
        <v>3.5911754121660602</v>
      </c>
      <c r="L243" s="2">
        <v>3.3411096760128198</v>
      </c>
      <c r="M243">
        <f>products_final_scores_scenarios[[#This Row],[rating_raw]]*products_final_scores_scenarios[[#This Row],[reviews_count]]</f>
        <v>108</v>
      </c>
      <c r="N243">
        <f>products_final_scores_scenarios[[#This Row],[rating_smoothed]]*products_final_scores_scenarios[[#This Row],[reviews_count]]</f>
        <v>118.5112551561579</v>
      </c>
      <c r="O243">
        <f>products_final_scores_scenarios[[#This Row],[final_score__balanced]]*products_final_scores_scenarios[[#This Row],[reviews_count]]</f>
        <v>114.4539285834573</v>
      </c>
    </row>
    <row r="244" spans="1:15" x14ac:dyDescent="0.3">
      <c r="A244" s="2" t="s">
        <v>301</v>
      </c>
      <c r="B244" s="2" t="s">
        <v>298</v>
      </c>
      <c r="C244" s="2">
        <v>314</v>
      </c>
      <c r="D244" s="2" t="s">
        <v>41</v>
      </c>
      <c r="E244" s="2">
        <v>64</v>
      </c>
      <c r="F244" s="2">
        <v>3.375</v>
      </c>
      <c r="G244" s="2">
        <v>3.63712807849519</v>
      </c>
      <c r="H244" s="2">
        <v>3.63712807849519</v>
      </c>
      <c r="I244" s="2">
        <v>3.49314403910931</v>
      </c>
      <c r="J244" s="2">
        <v>3.2859115879153999</v>
      </c>
      <c r="K244" s="2">
        <v>2.8600609816750699</v>
      </c>
      <c r="L244" s="2">
        <v>2.4120947431657198</v>
      </c>
      <c r="M244">
        <f>products_final_scores_scenarios[[#This Row],[rating_raw]]*products_final_scores_scenarios[[#This Row],[reviews_count]]</f>
        <v>216</v>
      </c>
      <c r="N244">
        <f>products_final_scores_scenarios[[#This Row],[rating_smoothed]]*products_final_scores_scenarios[[#This Row],[reviews_count]]</f>
        <v>232.77619702369216</v>
      </c>
      <c r="O244">
        <f>products_final_scores_scenarios[[#This Row],[final_score__balanced]]*products_final_scores_scenarios[[#This Row],[reviews_count]]</f>
        <v>210.2983416265856</v>
      </c>
    </row>
    <row r="245" spans="1:15" x14ac:dyDescent="0.3">
      <c r="A245" s="2" t="s">
        <v>302</v>
      </c>
      <c r="B245" s="2" t="s">
        <v>298</v>
      </c>
      <c r="C245" s="2">
        <v>225</v>
      </c>
      <c r="D245" s="2" t="s">
        <v>35</v>
      </c>
      <c r="E245" s="2">
        <v>1</v>
      </c>
      <c r="F245" s="2">
        <v>3</v>
      </c>
      <c r="G245" s="2">
        <v>4.4741474147414699</v>
      </c>
      <c r="H245" s="2">
        <v>4.4741474147414699</v>
      </c>
      <c r="I245" s="2">
        <v>4.4341474147414699</v>
      </c>
      <c r="J245" s="2">
        <v>4.3941474147414699</v>
      </c>
      <c r="K245" s="2">
        <v>4.34414741474147</v>
      </c>
      <c r="L245" s="2">
        <v>4.3608140814081402</v>
      </c>
      <c r="M245">
        <f>products_final_scores_scenarios[[#This Row],[rating_raw]]*products_final_scores_scenarios[[#This Row],[reviews_count]]</f>
        <v>3</v>
      </c>
      <c r="N245">
        <f>products_final_scores_scenarios[[#This Row],[rating_smoothed]]*products_final_scores_scenarios[[#This Row],[reviews_count]]</f>
        <v>4.4741474147414699</v>
      </c>
      <c r="O245">
        <f>products_final_scores_scenarios[[#This Row],[final_score__balanced]]*products_final_scores_scenarios[[#This Row],[reviews_count]]</f>
        <v>4.3941474147414699</v>
      </c>
    </row>
    <row r="246" spans="1:15" x14ac:dyDescent="0.3">
      <c r="A246" s="2" t="s">
        <v>303</v>
      </c>
      <c r="B246" s="2" t="s">
        <v>298</v>
      </c>
      <c r="C246" s="2">
        <v>314</v>
      </c>
      <c r="D246" s="2" t="s">
        <v>41</v>
      </c>
      <c r="E246" s="2">
        <v>138</v>
      </c>
      <c r="F246" s="2">
        <v>3.4782608695652102</v>
      </c>
      <c r="G246" s="2">
        <v>3.6045491050227598</v>
      </c>
      <c r="H246" s="2">
        <v>3.6045491050227598</v>
      </c>
      <c r="I246" s="2">
        <v>3.4846064637431402</v>
      </c>
      <c r="J246" s="2">
        <v>3.3134696950376399</v>
      </c>
      <c r="K246" s="2">
        <v>2.9460742750346101</v>
      </c>
      <c r="L246" s="2">
        <v>2.5650630400830101</v>
      </c>
      <c r="M246">
        <f>products_final_scores_scenarios[[#This Row],[rating_raw]]*products_final_scores_scenarios[[#This Row],[reviews_count]]</f>
        <v>479.99999999999903</v>
      </c>
      <c r="N246">
        <f>products_final_scores_scenarios[[#This Row],[rating_smoothed]]*products_final_scores_scenarios[[#This Row],[reviews_count]]</f>
        <v>497.42777649314087</v>
      </c>
      <c r="O246">
        <f>products_final_scores_scenarios[[#This Row],[final_score__balanced]]*products_final_scores_scenarios[[#This Row],[reviews_count]]</f>
        <v>457.2588179151943</v>
      </c>
    </row>
    <row r="247" spans="1:15" x14ac:dyDescent="0.3">
      <c r="A247" s="2" t="s">
        <v>304</v>
      </c>
      <c r="B247" s="2" t="s">
        <v>298</v>
      </c>
      <c r="C247" s="2">
        <v>314</v>
      </c>
      <c r="D247" s="2" t="s">
        <v>41</v>
      </c>
      <c r="E247" s="2">
        <v>64</v>
      </c>
      <c r="F247" s="2">
        <v>4.03125</v>
      </c>
      <c r="G247" s="2">
        <v>4.1371280784951896</v>
      </c>
      <c r="H247" s="2">
        <v>4.1371280784951896</v>
      </c>
      <c r="I247" s="2">
        <v>4.0456904196882402</v>
      </c>
      <c r="J247" s="2">
        <v>3.9143769343867501</v>
      </c>
      <c r="K247" s="2">
        <v>3.6163386240145301</v>
      </c>
      <c r="L247" s="2">
        <v>3.3089912861263202</v>
      </c>
      <c r="M247">
        <f>products_final_scores_scenarios[[#This Row],[rating_raw]]*products_final_scores_scenarios[[#This Row],[reviews_count]]</f>
        <v>258</v>
      </c>
      <c r="N247">
        <f>products_final_scores_scenarios[[#This Row],[rating_smoothed]]*products_final_scores_scenarios[[#This Row],[reviews_count]]</f>
        <v>264.77619702369213</v>
      </c>
      <c r="O247">
        <f>products_final_scores_scenarios[[#This Row],[final_score__balanced]]*products_final_scores_scenarios[[#This Row],[reviews_count]]</f>
        <v>250.520123800752</v>
      </c>
    </row>
    <row r="248" spans="1:15" x14ac:dyDescent="0.3">
      <c r="A248" s="2" t="s">
        <v>305</v>
      </c>
      <c r="B248" s="2" t="s">
        <v>298</v>
      </c>
      <c r="C248" s="2">
        <v>314</v>
      </c>
      <c r="D248" s="2" t="s">
        <v>41</v>
      </c>
      <c r="E248" s="2">
        <v>24</v>
      </c>
      <c r="F248" s="2">
        <v>3.1666666666666599</v>
      </c>
      <c r="G248" s="2">
        <v>3.7617899680362799</v>
      </c>
      <c r="H248" s="2">
        <v>3.7617899680362799</v>
      </c>
      <c r="I248" s="2">
        <v>3.6825950321863998</v>
      </c>
      <c r="J248" s="2">
        <v>3.5577443768416401</v>
      </c>
      <c r="K248" s="2">
        <v>3.2534268272648799</v>
      </c>
      <c r="L248" s="2">
        <v>2.9135407422947002</v>
      </c>
      <c r="M248">
        <f>products_final_scores_scenarios[[#This Row],[rating_raw]]*products_final_scores_scenarios[[#This Row],[reviews_count]]</f>
        <v>75.999999999999829</v>
      </c>
      <c r="N248">
        <f>products_final_scores_scenarios[[#This Row],[rating_smoothed]]*products_final_scores_scenarios[[#This Row],[reviews_count]]</f>
        <v>90.282959232870724</v>
      </c>
      <c r="O248">
        <f>products_final_scores_scenarios[[#This Row],[final_score__balanced]]*products_final_scores_scenarios[[#This Row],[reviews_count]]</f>
        <v>85.385865044199363</v>
      </c>
    </row>
    <row r="249" spans="1:15" x14ac:dyDescent="0.3">
      <c r="A249" s="2" t="s">
        <v>306</v>
      </c>
      <c r="B249" s="2" t="s">
        <v>298</v>
      </c>
      <c r="C249" s="2">
        <v>314</v>
      </c>
      <c r="D249" s="2" t="s">
        <v>41</v>
      </c>
      <c r="E249" s="2">
        <v>272</v>
      </c>
      <c r="F249" s="2">
        <v>3.1764705882352899</v>
      </c>
      <c r="G249" s="2">
        <v>3.2654752006629999</v>
      </c>
      <c r="H249" s="2">
        <v>3.2654752006629999</v>
      </c>
      <c r="I249" s="2">
        <v>3.1301092914573898</v>
      </c>
      <c r="J249" s="2">
        <v>2.9388365671499401</v>
      </c>
      <c r="K249" s="2">
        <v>2.54047377381819</v>
      </c>
      <c r="L249" s="2">
        <v>2.1289977999405099</v>
      </c>
      <c r="M249">
        <f>products_final_scores_scenarios[[#This Row],[rating_raw]]*products_final_scores_scenarios[[#This Row],[reviews_count]]</f>
        <v>863.99999999999886</v>
      </c>
      <c r="N249">
        <f>products_final_scores_scenarios[[#This Row],[rating_smoothed]]*products_final_scores_scenarios[[#This Row],[reviews_count]]</f>
        <v>888.20925458033594</v>
      </c>
      <c r="O249">
        <f>products_final_scores_scenarios[[#This Row],[final_score__balanced]]*products_final_scores_scenarios[[#This Row],[reviews_count]]</f>
        <v>799.36354626478374</v>
      </c>
    </row>
    <row r="250" spans="1:15" x14ac:dyDescent="0.3">
      <c r="A250" s="2" t="s">
        <v>307</v>
      </c>
      <c r="B250" s="2" t="s">
        <v>298</v>
      </c>
      <c r="C250" s="2">
        <v>314</v>
      </c>
      <c r="D250" s="2" t="s">
        <v>41</v>
      </c>
      <c r="E250" s="2">
        <v>10</v>
      </c>
      <c r="F250" s="2">
        <v>3.6</v>
      </c>
      <c r="G250" s="2">
        <v>4.1839586197865497</v>
      </c>
      <c r="H250" s="2">
        <v>4.1839586197865497</v>
      </c>
      <c r="I250" s="2">
        <v>4.0805921527948001</v>
      </c>
      <c r="J250" s="2">
        <v>3.9190505247859901</v>
      </c>
      <c r="K250" s="2">
        <v>3.5405235885005801</v>
      </c>
      <c r="L250" s="2">
        <v>3.4743797149266098</v>
      </c>
      <c r="M250">
        <f>products_final_scores_scenarios[[#This Row],[rating_raw]]*products_final_scores_scenarios[[#This Row],[reviews_count]]</f>
        <v>36</v>
      </c>
      <c r="N250">
        <f>products_final_scores_scenarios[[#This Row],[rating_smoothed]]*products_final_scores_scenarios[[#This Row],[reviews_count]]</f>
        <v>41.839586197865501</v>
      </c>
      <c r="O250">
        <f>products_final_scores_scenarios[[#This Row],[final_score__balanced]]*products_final_scores_scenarios[[#This Row],[reviews_count]]</f>
        <v>39.190505247859903</v>
      </c>
    </row>
    <row r="251" spans="1:15" x14ac:dyDescent="0.3">
      <c r="A251" s="2" t="s">
        <v>308</v>
      </c>
      <c r="B251" s="2" t="s">
        <v>298</v>
      </c>
      <c r="C251" s="2">
        <v>314</v>
      </c>
      <c r="D251" s="2" t="s">
        <v>41</v>
      </c>
      <c r="E251" s="2">
        <v>6</v>
      </c>
      <c r="F251" s="2">
        <v>5</v>
      </c>
      <c r="G251" s="2">
        <v>4.5968753305229404</v>
      </c>
      <c r="H251" s="2">
        <v>4.5968753305229404</v>
      </c>
      <c r="I251" s="2">
        <v>4.4361093111425003</v>
      </c>
      <c r="J251" s="2">
        <v>4.1833439227240099</v>
      </c>
      <c r="K251" s="2">
        <v>3.6963111814204401</v>
      </c>
      <c r="L251" s="2">
        <v>3.6352101081092298</v>
      </c>
      <c r="M251">
        <f>products_final_scores_scenarios[[#This Row],[rating_raw]]*products_final_scores_scenarios[[#This Row],[reviews_count]]</f>
        <v>30</v>
      </c>
      <c r="N251">
        <f>products_final_scores_scenarios[[#This Row],[rating_smoothed]]*products_final_scores_scenarios[[#This Row],[reviews_count]]</f>
        <v>27.581251983137641</v>
      </c>
      <c r="O251">
        <f>products_final_scores_scenarios[[#This Row],[final_score__balanced]]*products_final_scores_scenarios[[#This Row],[reviews_count]]</f>
        <v>25.100063536344059</v>
      </c>
    </row>
    <row r="252" spans="1:15" x14ac:dyDescent="0.3">
      <c r="A252" s="2" t="s">
        <v>309</v>
      </c>
      <c r="B252" s="2" t="s">
        <v>298</v>
      </c>
      <c r="C252" s="2">
        <v>314</v>
      </c>
      <c r="D252" s="2" t="s">
        <v>41</v>
      </c>
      <c r="E252" s="2">
        <v>38</v>
      </c>
      <c r="F252" s="2">
        <v>4.0526315789473601</v>
      </c>
      <c r="G252" s="2">
        <v>4.1985992860964902</v>
      </c>
      <c r="H252" s="2">
        <v>4.1985992860964902</v>
      </c>
      <c r="I252" s="2">
        <v>4.0624737468004399</v>
      </c>
      <c r="J252" s="2">
        <v>3.8512865171294499</v>
      </c>
      <c r="K252" s="2">
        <v>3.38470974553716</v>
      </c>
      <c r="L252" s="2">
        <v>2.86752737141759</v>
      </c>
      <c r="M252">
        <f>products_final_scores_scenarios[[#This Row],[rating_raw]]*products_final_scores_scenarios[[#This Row],[reviews_count]]</f>
        <v>153.99999999999969</v>
      </c>
      <c r="N252">
        <f>products_final_scores_scenarios[[#This Row],[rating_smoothed]]*products_final_scores_scenarios[[#This Row],[reviews_count]]</f>
        <v>159.54677287166663</v>
      </c>
      <c r="O252">
        <f>products_final_scores_scenarios[[#This Row],[final_score__balanced]]*products_final_scores_scenarios[[#This Row],[reviews_count]]</f>
        <v>146.3488876509191</v>
      </c>
    </row>
    <row r="253" spans="1:15" x14ac:dyDescent="0.3">
      <c r="A253" s="2" t="s">
        <v>310</v>
      </c>
      <c r="B253" s="2" t="s">
        <v>298</v>
      </c>
      <c r="C253" s="2">
        <v>314</v>
      </c>
      <c r="D253" s="2" t="s">
        <v>41</v>
      </c>
      <c r="E253" s="2">
        <v>32</v>
      </c>
      <c r="F253" s="2">
        <v>4.4375</v>
      </c>
      <c r="G253" s="2">
        <v>4.4522838191076204</v>
      </c>
      <c r="H253" s="2">
        <v>4.4522838191076204</v>
      </c>
      <c r="I253" s="2">
        <v>4.2635581306072803</v>
      </c>
      <c r="J253" s="2">
        <v>3.98460373127722</v>
      </c>
      <c r="K253" s="2">
        <v>3.42610385414129</v>
      </c>
      <c r="L253" s="2">
        <v>2.8256695367906701</v>
      </c>
      <c r="M253">
        <f>products_final_scores_scenarios[[#This Row],[rating_raw]]*products_final_scores_scenarios[[#This Row],[reviews_count]]</f>
        <v>142</v>
      </c>
      <c r="N253">
        <f>products_final_scores_scenarios[[#This Row],[rating_smoothed]]*products_final_scores_scenarios[[#This Row],[reviews_count]]</f>
        <v>142.47308221144385</v>
      </c>
      <c r="O253">
        <f>products_final_scores_scenarios[[#This Row],[final_score__balanced]]*products_final_scores_scenarios[[#This Row],[reviews_count]]</f>
        <v>127.50731940087104</v>
      </c>
    </row>
    <row r="254" spans="1:15" x14ac:dyDescent="0.3">
      <c r="A254" s="2" t="s">
        <v>311</v>
      </c>
      <c r="B254" s="2" t="s">
        <v>298</v>
      </c>
      <c r="C254" s="2">
        <v>314</v>
      </c>
      <c r="D254" s="2" t="s">
        <v>41</v>
      </c>
      <c r="E254" s="2">
        <v>50</v>
      </c>
      <c r="F254" s="2">
        <v>3.92</v>
      </c>
      <c r="G254" s="2">
        <v>4.0788394084799497</v>
      </c>
      <c r="H254" s="2">
        <v>4.0788394084799497</v>
      </c>
      <c r="I254" s="2">
        <v>3.9181774730294299</v>
      </c>
      <c r="J254" s="2">
        <v>3.6801527940707501</v>
      </c>
      <c r="K254" s="2">
        <v>3.1864133404471602</v>
      </c>
      <c r="L254" s="2">
        <v>2.6555748793076601</v>
      </c>
      <c r="M254">
        <f>products_final_scores_scenarios[[#This Row],[rating_raw]]*products_final_scores_scenarios[[#This Row],[reviews_count]]</f>
        <v>196</v>
      </c>
      <c r="N254">
        <f>products_final_scores_scenarios[[#This Row],[rating_smoothed]]*products_final_scores_scenarios[[#This Row],[reviews_count]]</f>
        <v>203.94197042399747</v>
      </c>
      <c r="O254">
        <f>products_final_scores_scenarios[[#This Row],[final_score__balanced]]*products_final_scores_scenarios[[#This Row],[reviews_count]]</f>
        <v>184.00763970353751</v>
      </c>
    </row>
    <row r="255" spans="1:15" x14ac:dyDescent="0.3">
      <c r="A255" s="2" t="s">
        <v>312</v>
      </c>
      <c r="B255" s="2" t="s">
        <v>298</v>
      </c>
      <c r="C255" s="2">
        <v>314</v>
      </c>
      <c r="D255" s="2" t="s">
        <v>41</v>
      </c>
      <c r="E255" s="2">
        <v>5</v>
      </c>
      <c r="F255" s="2">
        <v>4.5999999999999996</v>
      </c>
      <c r="G255" s="2">
        <v>4.5007503437438601</v>
      </c>
      <c r="H255" s="2">
        <v>4.5007503437438601</v>
      </c>
      <c r="I255" s="2">
        <v>4.44906711024798</v>
      </c>
      <c r="J255" s="2">
        <v>4.3682962962435798</v>
      </c>
      <c r="K255" s="2">
        <v>4.17903282810087</v>
      </c>
      <c r="L255" s="2">
        <v>4.1459608913138899</v>
      </c>
      <c r="M255">
        <f>products_final_scores_scenarios[[#This Row],[rating_raw]]*products_final_scores_scenarios[[#This Row],[reviews_count]]</f>
        <v>23</v>
      </c>
      <c r="N255">
        <f>products_final_scores_scenarios[[#This Row],[rating_smoothed]]*products_final_scores_scenarios[[#This Row],[reviews_count]]</f>
        <v>22.5037517187193</v>
      </c>
      <c r="O255">
        <f>products_final_scores_scenarios[[#This Row],[final_score__balanced]]*products_final_scores_scenarios[[#This Row],[reviews_count]]</f>
        <v>21.841481481217897</v>
      </c>
    </row>
    <row r="256" spans="1:15" x14ac:dyDescent="0.3">
      <c r="A256" s="2" t="s">
        <v>313</v>
      </c>
      <c r="B256" s="2" t="s">
        <v>298</v>
      </c>
      <c r="C256" s="2">
        <v>314</v>
      </c>
      <c r="D256" s="2" t="s">
        <v>41</v>
      </c>
      <c r="E256" s="2">
        <v>30</v>
      </c>
      <c r="F256" s="2">
        <v>4.0999999999999996</v>
      </c>
      <c r="G256" s="2">
        <v>4.25037517187193</v>
      </c>
      <c r="H256" s="2">
        <v>4.25037517187193</v>
      </c>
      <c r="I256" s="2">
        <v>4.1186935106283</v>
      </c>
      <c r="J256" s="2">
        <v>3.9224709713446901</v>
      </c>
      <c r="K256" s="2">
        <v>3.4984602470897501</v>
      </c>
      <c r="L256" s="2">
        <v>3.0418322352620502</v>
      </c>
      <c r="M256">
        <f>products_final_scores_scenarios[[#This Row],[rating_raw]]*products_final_scores_scenarios[[#This Row],[reviews_count]]</f>
        <v>122.99999999999999</v>
      </c>
      <c r="N256">
        <f>products_final_scores_scenarios[[#This Row],[rating_smoothed]]*products_final_scores_scenarios[[#This Row],[reviews_count]]</f>
        <v>127.5112551561579</v>
      </c>
      <c r="O256">
        <f>products_final_scores_scenarios[[#This Row],[final_score__balanced]]*products_final_scores_scenarios[[#This Row],[reviews_count]]</f>
        <v>117.67412914034071</v>
      </c>
    </row>
    <row r="257" spans="1:15" x14ac:dyDescent="0.3">
      <c r="A257" s="2" t="s">
        <v>314</v>
      </c>
      <c r="B257" s="2" t="s">
        <v>298</v>
      </c>
      <c r="C257" s="2">
        <v>314</v>
      </c>
      <c r="D257" s="2" t="s">
        <v>41</v>
      </c>
      <c r="E257" s="2">
        <v>15</v>
      </c>
      <c r="F257" s="2">
        <v>3.93333333333333</v>
      </c>
      <c r="G257" s="2">
        <v>4.2433931026741796</v>
      </c>
      <c r="H257" s="2">
        <v>4.2433931026741796</v>
      </c>
      <c r="I257" s="2">
        <v>4.0755612476157497</v>
      </c>
      <c r="J257" s="2">
        <v>3.8152307649100301</v>
      </c>
      <c r="K257" s="2">
        <v>3.2683168003973599</v>
      </c>
      <c r="L257" s="2">
        <v>2.6620948653937102</v>
      </c>
      <c r="M257">
        <f>products_final_scores_scenarios[[#This Row],[rating_raw]]*products_final_scores_scenarios[[#This Row],[reviews_count]]</f>
        <v>58.99999999999995</v>
      </c>
      <c r="N257">
        <f>products_final_scores_scenarios[[#This Row],[rating_smoothed]]*products_final_scores_scenarios[[#This Row],[reviews_count]]</f>
        <v>63.650896540112697</v>
      </c>
      <c r="O257">
        <f>products_final_scores_scenarios[[#This Row],[final_score__balanced]]*products_final_scores_scenarios[[#This Row],[reviews_count]]</f>
        <v>57.228461473650455</v>
      </c>
    </row>
    <row r="258" spans="1:15" x14ac:dyDescent="0.3">
      <c r="A258" s="2" t="s">
        <v>315</v>
      </c>
      <c r="B258" s="2" t="s">
        <v>298</v>
      </c>
      <c r="C258" s="2">
        <v>314</v>
      </c>
      <c r="D258" s="2" t="s">
        <v>41</v>
      </c>
      <c r="E258" s="2">
        <v>13</v>
      </c>
      <c r="F258" s="2">
        <v>4</v>
      </c>
      <c r="G258" s="2">
        <v>4.2884472301089804</v>
      </c>
      <c r="H258" s="2">
        <v>4.2884472301089804</v>
      </c>
      <c r="I258" s="2">
        <v>4.2085332697780196</v>
      </c>
      <c r="J258" s="2">
        <v>4.0819533388283702</v>
      </c>
      <c r="K258" s="2">
        <v>3.7680056716742301</v>
      </c>
      <c r="L258" s="2">
        <v>3.5327463893765101</v>
      </c>
      <c r="M258">
        <f>products_final_scores_scenarios[[#This Row],[rating_raw]]*products_final_scores_scenarios[[#This Row],[reviews_count]]</f>
        <v>52</v>
      </c>
      <c r="N258">
        <f>products_final_scores_scenarios[[#This Row],[rating_smoothed]]*products_final_scores_scenarios[[#This Row],[reviews_count]]</f>
        <v>55.749813991416744</v>
      </c>
      <c r="O258">
        <f>products_final_scores_scenarios[[#This Row],[final_score__balanced]]*products_final_scores_scenarios[[#This Row],[reviews_count]]</f>
        <v>53.065393404768813</v>
      </c>
    </row>
    <row r="259" spans="1:15" x14ac:dyDescent="0.3">
      <c r="A259" s="2" t="s">
        <v>316</v>
      </c>
      <c r="B259" s="2" t="s">
        <v>298</v>
      </c>
      <c r="C259" s="2">
        <v>314</v>
      </c>
      <c r="D259" s="2" t="s">
        <v>41</v>
      </c>
      <c r="E259" s="2">
        <v>10</v>
      </c>
      <c r="F259" s="2">
        <v>2.9</v>
      </c>
      <c r="G259" s="2">
        <v>3.9506252864532101</v>
      </c>
      <c r="H259" s="2">
        <v>3.9506252864532101</v>
      </c>
      <c r="I259" s="2">
        <v>3.8017365632164899</v>
      </c>
      <c r="J259" s="2">
        <v>3.5842145111298702</v>
      </c>
      <c r="K259" s="2">
        <v>3.1299724829901701</v>
      </c>
      <c r="L259" s="2">
        <v>3.0815721618783498</v>
      </c>
      <c r="M259">
        <f>products_final_scores_scenarios[[#This Row],[rating_raw]]*products_final_scores_scenarios[[#This Row],[reviews_count]]</f>
        <v>29</v>
      </c>
      <c r="N259">
        <f>products_final_scores_scenarios[[#This Row],[rating_smoothed]]*products_final_scores_scenarios[[#This Row],[reviews_count]]</f>
        <v>39.506252864532101</v>
      </c>
      <c r="O259">
        <f>products_final_scores_scenarios[[#This Row],[final_score__balanced]]*products_final_scores_scenarios[[#This Row],[reviews_count]]</f>
        <v>35.842145111298706</v>
      </c>
    </row>
    <row r="260" spans="1:15" x14ac:dyDescent="0.3">
      <c r="A260" s="2" t="s">
        <v>317</v>
      </c>
      <c r="B260" s="2" t="s">
        <v>298</v>
      </c>
      <c r="C260" s="2">
        <v>314</v>
      </c>
      <c r="D260" s="2" t="s">
        <v>41</v>
      </c>
      <c r="E260" s="2">
        <v>5</v>
      </c>
      <c r="F260" s="2">
        <v>3.4</v>
      </c>
      <c r="G260" s="2">
        <v>4.2607503437438599</v>
      </c>
      <c r="H260" s="2">
        <v>4.2607503437438599</v>
      </c>
      <c r="I260" s="2">
        <v>4.1470900875957701</v>
      </c>
      <c r="J260" s="2">
        <v>4.0215160136022297</v>
      </c>
      <c r="K260" s="2">
        <v>3.8301775188954199</v>
      </c>
      <c r="L260" s="2">
        <v>3.8657060424307002</v>
      </c>
      <c r="M260">
        <f>products_final_scores_scenarios[[#This Row],[rating_raw]]*products_final_scores_scenarios[[#This Row],[reviews_count]]</f>
        <v>17</v>
      </c>
      <c r="N260">
        <f>products_final_scores_scenarios[[#This Row],[rating_smoothed]]*products_final_scores_scenarios[[#This Row],[reviews_count]]</f>
        <v>21.303751718719298</v>
      </c>
      <c r="O260">
        <f>products_final_scores_scenarios[[#This Row],[final_score__balanced]]*products_final_scores_scenarios[[#This Row],[reviews_count]]</f>
        <v>20.107580068011149</v>
      </c>
    </row>
    <row r="261" spans="1:15" x14ac:dyDescent="0.3">
      <c r="A261" s="2" t="s">
        <v>318</v>
      </c>
      <c r="B261" s="2" t="s">
        <v>298</v>
      </c>
      <c r="C261" s="2">
        <v>314</v>
      </c>
      <c r="D261" s="2" t="s">
        <v>41</v>
      </c>
      <c r="E261" s="2">
        <v>6</v>
      </c>
      <c r="F261" s="2">
        <v>4</v>
      </c>
      <c r="G261" s="2">
        <v>4.3661060997537096</v>
      </c>
      <c r="H261" s="2">
        <v>4.3661060997537096</v>
      </c>
      <c r="I261" s="2">
        <v>4.3661060997537096</v>
      </c>
      <c r="J261" s="2">
        <v>4.3661060997537096</v>
      </c>
      <c r="K261" s="2">
        <v>4.3661060997537096</v>
      </c>
      <c r="L261" s="2">
        <v>4.3661060997537096</v>
      </c>
      <c r="M261">
        <f>products_final_scores_scenarios[[#This Row],[rating_raw]]*products_final_scores_scenarios[[#This Row],[reviews_count]]</f>
        <v>24</v>
      </c>
      <c r="N261">
        <f>products_final_scores_scenarios[[#This Row],[rating_smoothed]]*products_final_scores_scenarios[[#This Row],[reviews_count]]</f>
        <v>26.196636598522257</v>
      </c>
      <c r="O261">
        <f>products_final_scores_scenarios[[#This Row],[final_score__balanced]]*products_final_scores_scenarios[[#This Row],[reviews_count]]</f>
        <v>26.196636598522257</v>
      </c>
    </row>
    <row r="262" spans="1:15" x14ac:dyDescent="0.3">
      <c r="A262" s="2" t="s">
        <v>319</v>
      </c>
      <c r="B262" s="2" t="s">
        <v>298</v>
      </c>
      <c r="C262" s="2">
        <v>314</v>
      </c>
      <c r="D262" s="2" t="s">
        <v>41</v>
      </c>
      <c r="E262" s="2">
        <v>6</v>
      </c>
      <c r="F262" s="2">
        <v>4</v>
      </c>
      <c r="G262" s="2">
        <v>4.3661060997537096</v>
      </c>
      <c r="H262" s="2">
        <v>4.3661060997537096</v>
      </c>
      <c r="I262" s="2">
        <v>4.3661060997537096</v>
      </c>
      <c r="J262" s="2">
        <v>4.3661060997537096</v>
      </c>
      <c r="K262" s="2">
        <v>4.3661060997537096</v>
      </c>
      <c r="L262" s="2">
        <v>4.3661060997537096</v>
      </c>
      <c r="M262">
        <f>products_final_scores_scenarios[[#This Row],[rating_raw]]*products_final_scores_scenarios[[#This Row],[reviews_count]]</f>
        <v>24</v>
      </c>
      <c r="N262">
        <f>products_final_scores_scenarios[[#This Row],[rating_smoothed]]*products_final_scores_scenarios[[#This Row],[reviews_count]]</f>
        <v>26.196636598522257</v>
      </c>
      <c r="O262">
        <f>products_final_scores_scenarios[[#This Row],[final_score__balanced]]*products_final_scores_scenarios[[#This Row],[reviews_count]]</f>
        <v>26.196636598522257</v>
      </c>
    </row>
    <row r="263" spans="1:15" x14ac:dyDescent="0.3">
      <c r="A263" s="2" t="s">
        <v>320</v>
      </c>
      <c r="B263" s="2" t="s">
        <v>321</v>
      </c>
      <c r="C263" s="2">
        <v>76</v>
      </c>
      <c r="D263" s="2" t="s">
        <v>14</v>
      </c>
      <c r="E263" s="2">
        <v>38</v>
      </c>
      <c r="F263" s="2">
        <v>4.5789473684210504</v>
      </c>
      <c r="G263" s="2">
        <v>4.5580873886431101</v>
      </c>
      <c r="H263" s="2">
        <v>4.5580873886431101</v>
      </c>
      <c r="I263" s="2">
        <v>4.5580873886431101</v>
      </c>
      <c r="J263" s="2">
        <v>4.5580873886431101</v>
      </c>
      <c r="K263" s="2">
        <v>4.5580873886431101</v>
      </c>
      <c r="L263" s="2">
        <v>4.5580873886431101</v>
      </c>
      <c r="M263">
        <f>products_final_scores_scenarios[[#This Row],[rating_raw]]*products_final_scores_scenarios[[#This Row],[reviews_count]]</f>
        <v>173.99999999999991</v>
      </c>
      <c r="N263">
        <f>products_final_scores_scenarios[[#This Row],[rating_smoothed]]*products_final_scores_scenarios[[#This Row],[reviews_count]]</f>
        <v>173.20732076843819</v>
      </c>
      <c r="O263">
        <f>products_final_scores_scenarios[[#This Row],[final_score__balanced]]*products_final_scores_scenarios[[#This Row],[reviews_count]]</f>
        <v>173.20732076843819</v>
      </c>
    </row>
    <row r="264" spans="1:15" x14ac:dyDescent="0.3">
      <c r="A264" s="2" t="s">
        <v>322</v>
      </c>
      <c r="B264" s="2" t="s">
        <v>323</v>
      </c>
      <c r="C264" s="2">
        <v>76</v>
      </c>
      <c r="D264" s="2" t="s">
        <v>14</v>
      </c>
      <c r="E264" s="2">
        <v>54</v>
      </c>
      <c r="F264" s="2">
        <v>3.74074074074074</v>
      </c>
      <c r="G264" s="2">
        <v>3.9509333586662199</v>
      </c>
      <c r="H264" s="2">
        <v>3.9509333586662199</v>
      </c>
      <c r="I264" s="2">
        <v>3.8363855161142002</v>
      </c>
      <c r="J264" s="2">
        <v>3.6540969020999499</v>
      </c>
      <c r="K264" s="2">
        <v>3.2322038806751001</v>
      </c>
      <c r="L264" s="2">
        <v>2.75654691130398</v>
      </c>
      <c r="M264">
        <f>products_final_scores_scenarios[[#This Row],[rating_raw]]*products_final_scores_scenarios[[#This Row],[reviews_count]]</f>
        <v>201.99999999999997</v>
      </c>
      <c r="N264">
        <f>products_final_scores_scenarios[[#This Row],[rating_smoothed]]*products_final_scores_scenarios[[#This Row],[reviews_count]]</f>
        <v>213.35040136797588</v>
      </c>
      <c r="O264">
        <f>products_final_scores_scenarios[[#This Row],[final_score__balanced]]*products_final_scores_scenarios[[#This Row],[reviews_count]]</f>
        <v>197.32123271339728</v>
      </c>
    </row>
    <row r="265" spans="1:15" x14ac:dyDescent="0.3">
      <c r="A265" s="2" t="s">
        <v>324</v>
      </c>
      <c r="B265" s="2" t="s">
        <v>325</v>
      </c>
      <c r="C265" s="2">
        <v>225</v>
      </c>
      <c r="D265" s="2" t="s">
        <v>35</v>
      </c>
      <c r="E265" s="2">
        <v>4</v>
      </c>
      <c r="F265" s="2">
        <v>5</v>
      </c>
      <c r="G265" s="2">
        <v>4.6232123212321197</v>
      </c>
      <c r="H265" s="2">
        <v>4.6232123212321197</v>
      </c>
      <c r="I265" s="2">
        <v>4.5779823235041102</v>
      </c>
      <c r="J265" s="2">
        <v>4.50775537903949</v>
      </c>
      <c r="K265" s="2">
        <v>4.3508932231510498</v>
      </c>
      <c r="L265" s="2">
        <v>4.3257123212321202</v>
      </c>
      <c r="M265">
        <f>products_final_scores_scenarios[[#This Row],[rating_raw]]*products_final_scores_scenarios[[#This Row],[reviews_count]]</f>
        <v>20</v>
      </c>
      <c r="N265">
        <f>products_final_scores_scenarios[[#This Row],[rating_smoothed]]*products_final_scores_scenarios[[#This Row],[reviews_count]]</f>
        <v>18.492849284928479</v>
      </c>
      <c r="O265">
        <f>products_final_scores_scenarios[[#This Row],[final_score__balanced]]*products_final_scores_scenarios[[#This Row],[reviews_count]]</f>
        <v>18.03102151615796</v>
      </c>
    </row>
    <row r="266" spans="1:15" x14ac:dyDescent="0.3">
      <c r="A266" s="2" t="s">
        <v>326</v>
      </c>
      <c r="B266" s="2" t="s">
        <v>325</v>
      </c>
      <c r="C266" s="2">
        <v>225</v>
      </c>
      <c r="D266" s="2" t="s">
        <v>35</v>
      </c>
      <c r="E266" s="2">
        <v>7</v>
      </c>
      <c r="F266" s="2">
        <v>5</v>
      </c>
      <c r="G266" s="2">
        <v>4.6650776188729903</v>
      </c>
      <c r="H266" s="2">
        <v>4.6650776188729903</v>
      </c>
      <c r="I266" s="2">
        <v>4.6130141598427503</v>
      </c>
      <c r="J266" s="2">
        <v>4.5301497869557803</v>
      </c>
      <c r="K266" s="2">
        <v>4.3212795332939304</v>
      </c>
      <c r="L266" s="2">
        <v>4.27955385640358</v>
      </c>
      <c r="M266">
        <f>products_final_scores_scenarios[[#This Row],[rating_raw]]*products_final_scores_scenarios[[#This Row],[reviews_count]]</f>
        <v>35</v>
      </c>
      <c r="N266">
        <f>products_final_scores_scenarios[[#This Row],[rating_smoothed]]*products_final_scores_scenarios[[#This Row],[reviews_count]]</f>
        <v>32.655543332110931</v>
      </c>
      <c r="O266">
        <f>products_final_scores_scenarios[[#This Row],[final_score__balanced]]*products_final_scores_scenarios[[#This Row],[reviews_count]]</f>
        <v>31.71104850869046</v>
      </c>
    </row>
    <row r="267" spans="1:15" x14ac:dyDescent="0.3">
      <c r="A267" s="2" t="s">
        <v>327</v>
      </c>
      <c r="B267" s="2" t="s">
        <v>325</v>
      </c>
      <c r="C267" s="2">
        <v>225</v>
      </c>
      <c r="D267" s="2" t="s">
        <v>35</v>
      </c>
      <c r="E267" s="2">
        <v>1</v>
      </c>
      <c r="F267" s="2">
        <v>5</v>
      </c>
      <c r="G267" s="2">
        <v>4.5693855099795604</v>
      </c>
      <c r="H267" s="2">
        <v>4.5693855099795604</v>
      </c>
      <c r="I267" s="2">
        <v>4.5693855099795604</v>
      </c>
      <c r="J267" s="2">
        <v>4.5693855099795604</v>
      </c>
      <c r="K267" s="2">
        <v>4.5693855099795604</v>
      </c>
      <c r="L267" s="2">
        <v>4.5693855099795604</v>
      </c>
      <c r="M267">
        <f>products_final_scores_scenarios[[#This Row],[rating_raw]]*products_final_scores_scenarios[[#This Row],[reviews_count]]</f>
        <v>5</v>
      </c>
      <c r="N267">
        <f>products_final_scores_scenarios[[#This Row],[rating_smoothed]]*products_final_scores_scenarios[[#This Row],[reviews_count]]</f>
        <v>4.5693855099795604</v>
      </c>
      <c r="O267">
        <f>products_final_scores_scenarios[[#This Row],[final_score__balanced]]*products_final_scores_scenarios[[#This Row],[reviews_count]]</f>
        <v>4.5693855099795604</v>
      </c>
    </row>
    <row r="268" spans="1:15" x14ac:dyDescent="0.3">
      <c r="A268" s="2" t="s">
        <v>328</v>
      </c>
      <c r="B268" s="2" t="s">
        <v>329</v>
      </c>
      <c r="C268" s="2">
        <v>314</v>
      </c>
      <c r="D268" s="2" t="s">
        <v>41</v>
      </c>
      <c r="E268" s="2">
        <v>1</v>
      </c>
      <c r="F268" s="2">
        <v>5</v>
      </c>
      <c r="G268" s="2">
        <v>4.5008932663617403</v>
      </c>
      <c r="H268" s="2">
        <v>4.5008932663617403</v>
      </c>
      <c r="I268" s="2">
        <v>4.5008932663617403</v>
      </c>
      <c r="J268" s="2">
        <v>4.5008932663617403</v>
      </c>
      <c r="K268" s="2">
        <v>4.5008932663617403</v>
      </c>
      <c r="L268" s="2">
        <v>4.5008932663617403</v>
      </c>
      <c r="M268">
        <f>products_final_scores_scenarios[[#This Row],[rating_raw]]*products_final_scores_scenarios[[#This Row],[reviews_count]]</f>
        <v>5</v>
      </c>
      <c r="N268">
        <f>products_final_scores_scenarios[[#This Row],[rating_smoothed]]*products_final_scores_scenarios[[#This Row],[reviews_count]]</f>
        <v>4.5008932663617403</v>
      </c>
      <c r="O268">
        <f>products_final_scores_scenarios[[#This Row],[final_score__balanced]]*products_final_scores_scenarios[[#This Row],[reviews_count]]</f>
        <v>4.5008932663617403</v>
      </c>
    </row>
    <row r="269" spans="1:15" x14ac:dyDescent="0.3">
      <c r="A269" s="2" t="s">
        <v>330</v>
      </c>
      <c r="B269" s="2" t="s">
        <v>329</v>
      </c>
      <c r="C269" s="2">
        <v>314</v>
      </c>
      <c r="D269" s="2" t="s">
        <v>41</v>
      </c>
      <c r="E269" s="2">
        <v>6</v>
      </c>
      <c r="F269" s="2">
        <v>5</v>
      </c>
      <c r="G269" s="2">
        <v>4.5968753305229404</v>
      </c>
      <c r="H269" s="2">
        <v>4.5968753305229404</v>
      </c>
      <c r="I269" s="2">
        <v>4.5968753305229404</v>
      </c>
      <c r="J269" s="2">
        <v>4.5968753305229404</v>
      </c>
      <c r="K269" s="2">
        <v>4.5968753305229404</v>
      </c>
      <c r="L269" s="2">
        <v>4.5968753305229404</v>
      </c>
      <c r="M269">
        <f>products_final_scores_scenarios[[#This Row],[rating_raw]]*products_final_scores_scenarios[[#This Row],[reviews_count]]</f>
        <v>30</v>
      </c>
      <c r="N269">
        <f>products_final_scores_scenarios[[#This Row],[rating_smoothed]]*products_final_scores_scenarios[[#This Row],[reviews_count]]</f>
        <v>27.581251983137641</v>
      </c>
      <c r="O269">
        <f>products_final_scores_scenarios[[#This Row],[final_score__balanced]]*products_final_scores_scenarios[[#This Row],[reviews_count]]</f>
        <v>27.581251983137641</v>
      </c>
    </row>
    <row r="270" spans="1:15" x14ac:dyDescent="0.3">
      <c r="A270" s="2" t="s">
        <v>331</v>
      </c>
      <c r="B270" s="2" t="s">
        <v>329</v>
      </c>
      <c r="C270" s="2">
        <v>314</v>
      </c>
      <c r="D270" s="2" t="s">
        <v>41</v>
      </c>
      <c r="E270" s="2">
        <v>1</v>
      </c>
      <c r="F270" s="2">
        <v>5</v>
      </c>
      <c r="G270" s="2">
        <v>4.5008932663617403</v>
      </c>
      <c r="H270" s="2">
        <v>4.5008932663617403</v>
      </c>
      <c r="I270" s="2">
        <v>4.5008932663617403</v>
      </c>
      <c r="J270" s="2">
        <v>4.5008932663617403</v>
      </c>
      <c r="K270" s="2">
        <v>4.5008932663617403</v>
      </c>
      <c r="L270" s="2">
        <v>4.5008932663617403</v>
      </c>
      <c r="M270">
        <f>products_final_scores_scenarios[[#This Row],[rating_raw]]*products_final_scores_scenarios[[#This Row],[reviews_count]]</f>
        <v>5</v>
      </c>
      <c r="N270">
        <f>products_final_scores_scenarios[[#This Row],[rating_smoothed]]*products_final_scores_scenarios[[#This Row],[reviews_count]]</f>
        <v>4.5008932663617403</v>
      </c>
      <c r="O270">
        <f>products_final_scores_scenarios[[#This Row],[final_score__balanced]]*products_final_scores_scenarios[[#This Row],[reviews_count]]</f>
        <v>4.5008932663617403</v>
      </c>
    </row>
    <row r="271" spans="1:15" x14ac:dyDescent="0.3">
      <c r="A271" s="2" t="s">
        <v>332</v>
      </c>
      <c r="B271" s="2" t="s">
        <v>333</v>
      </c>
      <c r="C271" s="2">
        <v>76</v>
      </c>
      <c r="D271" s="2" t="s">
        <v>14</v>
      </c>
      <c r="E271" s="2">
        <v>9</v>
      </c>
      <c r="F271" s="2">
        <v>4.6666666666666599</v>
      </c>
      <c r="G271" s="2">
        <v>4.56445063935519</v>
      </c>
      <c r="H271" s="2">
        <v>4.56445063935519</v>
      </c>
      <c r="I271" s="2">
        <v>4.56445063935519</v>
      </c>
      <c r="J271" s="2">
        <v>4.56445063935519</v>
      </c>
      <c r="K271" s="2">
        <v>4.56445063935519</v>
      </c>
      <c r="L271" s="2">
        <v>4.56445063935519</v>
      </c>
      <c r="M271">
        <f>products_final_scores_scenarios[[#This Row],[rating_raw]]*products_final_scores_scenarios[[#This Row],[reviews_count]]</f>
        <v>41.999999999999936</v>
      </c>
      <c r="N271">
        <f>products_final_scores_scenarios[[#This Row],[rating_smoothed]]*products_final_scores_scenarios[[#This Row],[reviews_count]]</f>
        <v>41.080055754196707</v>
      </c>
      <c r="O271">
        <f>products_final_scores_scenarios[[#This Row],[final_score__balanced]]*products_final_scores_scenarios[[#This Row],[reviews_count]]</f>
        <v>41.080055754196707</v>
      </c>
    </row>
    <row r="272" spans="1:15" x14ac:dyDescent="0.3">
      <c r="A272" s="2" t="s">
        <v>334</v>
      </c>
      <c r="B272" s="2" t="s">
        <v>335</v>
      </c>
      <c r="C272" s="2">
        <v>314</v>
      </c>
      <c r="D272" s="2" t="s">
        <v>41</v>
      </c>
      <c r="E272" s="2">
        <v>20</v>
      </c>
      <c r="F272" s="2">
        <v>4.3499999999999996</v>
      </c>
      <c r="G272" s="2">
        <v>4.4129689648399104</v>
      </c>
      <c r="H272" s="2">
        <v>4.4129689648399104</v>
      </c>
      <c r="I272" s="2">
        <v>4.3368081777681704</v>
      </c>
      <c r="J272" s="2">
        <v>4.2200585480258201</v>
      </c>
      <c r="K272" s="2">
        <v>3.9340126009581602</v>
      </c>
      <c r="L272" s="2">
        <v>3.6228803622135999</v>
      </c>
      <c r="M272">
        <f>products_final_scores_scenarios[[#This Row],[rating_raw]]*products_final_scores_scenarios[[#This Row],[reviews_count]]</f>
        <v>87</v>
      </c>
      <c r="N272">
        <f>products_final_scores_scenarios[[#This Row],[rating_smoothed]]*products_final_scores_scenarios[[#This Row],[reviews_count]]</f>
        <v>88.259379296798215</v>
      </c>
      <c r="O272">
        <f>products_final_scores_scenarios[[#This Row],[final_score__balanced]]*products_final_scores_scenarios[[#This Row],[reviews_count]]</f>
        <v>84.401170960516396</v>
      </c>
    </row>
    <row r="273" spans="1:15" x14ac:dyDescent="0.3">
      <c r="A273" s="2" t="s">
        <v>336</v>
      </c>
      <c r="B273" s="2" t="s">
        <v>335</v>
      </c>
      <c r="C273" s="2">
        <v>314</v>
      </c>
      <c r="D273" s="2" t="s">
        <v>41</v>
      </c>
      <c r="E273" s="2">
        <v>3</v>
      </c>
      <c r="F273" s="2">
        <v>5</v>
      </c>
      <c r="G273" s="2">
        <v>4.5442938518954996</v>
      </c>
      <c r="H273" s="2">
        <v>4.5442938518954996</v>
      </c>
      <c r="I273" s="2">
        <v>4.4922081037739101</v>
      </c>
      <c r="J273" s="2">
        <v>4.4114158850031799</v>
      </c>
      <c r="K273" s="2">
        <v>4.2416839649820002</v>
      </c>
      <c r="L273" s="2">
        <v>4.2171286993547099</v>
      </c>
      <c r="M273">
        <f>products_final_scores_scenarios[[#This Row],[rating_raw]]*products_final_scores_scenarios[[#This Row],[reviews_count]]</f>
        <v>15</v>
      </c>
      <c r="N273">
        <f>products_final_scores_scenarios[[#This Row],[rating_smoothed]]*products_final_scores_scenarios[[#This Row],[reviews_count]]</f>
        <v>13.632881555686499</v>
      </c>
      <c r="O273">
        <f>products_final_scores_scenarios[[#This Row],[final_score__balanced]]*products_final_scores_scenarios[[#This Row],[reviews_count]]</f>
        <v>13.23424765500954</v>
      </c>
    </row>
    <row r="274" spans="1:15" x14ac:dyDescent="0.3">
      <c r="A274" s="2" t="s">
        <v>337</v>
      </c>
      <c r="B274" s="2" t="s">
        <v>338</v>
      </c>
      <c r="C274" s="2">
        <v>4</v>
      </c>
      <c r="D274" s="2" t="s">
        <v>22</v>
      </c>
      <c r="E274" s="2">
        <v>7</v>
      </c>
      <c r="F274" s="2">
        <v>4.2857142857142803</v>
      </c>
      <c r="G274" s="2">
        <v>4.4825818390977004</v>
      </c>
      <c r="H274" s="2">
        <v>4.4825818390977004</v>
      </c>
      <c r="I274" s="2">
        <v>4.4825818390977004</v>
      </c>
      <c r="J274" s="2">
        <v>4.4825818390977004</v>
      </c>
      <c r="K274" s="2">
        <v>4.4825818390977004</v>
      </c>
      <c r="L274" s="2">
        <v>4.4825818390977004</v>
      </c>
      <c r="M274">
        <f>products_final_scores_scenarios[[#This Row],[rating_raw]]*products_final_scores_scenarios[[#This Row],[reviews_count]]</f>
        <v>29.999999999999961</v>
      </c>
      <c r="N274">
        <f>products_final_scores_scenarios[[#This Row],[rating_smoothed]]*products_final_scores_scenarios[[#This Row],[reviews_count]]</f>
        <v>31.378072873683902</v>
      </c>
      <c r="O274">
        <f>products_final_scores_scenarios[[#This Row],[final_score__balanced]]*products_final_scores_scenarios[[#This Row],[reviews_count]]</f>
        <v>31.378072873683902</v>
      </c>
    </row>
    <row r="275" spans="1:15" x14ac:dyDescent="0.3">
      <c r="A275" s="2" t="s">
        <v>339</v>
      </c>
      <c r="B275" s="2" t="s">
        <v>340</v>
      </c>
      <c r="C275" s="2">
        <v>314</v>
      </c>
      <c r="D275" s="2" t="s">
        <v>41</v>
      </c>
      <c r="E275" s="2">
        <v>13</v>
      </c>
      <c r="F275" s="2">
        <v>4.0769230769230704</v>
      </c>
      <c r="G275" s="2">
        <v>4.3187502604120098</v>
      </c>
      <c r="H275" s="2">
        <v>4.3187502604120098</v>
      </c>
      <c r="I275" s="2">
        <v>4.2759254294275602</v>
      </c>
      <c r="J275" s="2">
        <v>4.2001506637965198</v>
      </c>
      <c r="K275" s="2">
        <v>3.9753868836872002</v>
      </c>
      <c r="L275" s="2">
        <v>3.7843890713817099</v>
      </c>
      <c r="M275">
        <f>products_final_scores_scenarios[[#This Row],[rating_raw]]*products_final_scores_scenarios[[#This Row],[reviews_count]]</f>
        <v>52.999999999999915</v>
      </c>
      <c r="N275">
        <f>products_final_scores_scenarios[[#This Row],[rating_smoothed]]*products_final_scores_scenarios[[#This Row],[reviews_count]]</f>
        <v>56.143753385356128</v>
      </c>
      <c r="O275">
        <f>products_final_scores_scenarios[[#This Row],[final_score__balanced]]*products_final_scores_scenarios[[#This Row],[reviews_count]]</f>
        <v>54.601958629354755</v>
      </c>
    </row>
    <row r="276" spans="1:15" x14ac:dyDescent="0.3">
      <c r="A276" s="2" t="s">
        <v>341</v>
      </c>
      <c r="B276" s="2" t="s">
        <v>340</v>
      </c>
      <c r="C276" s="2">
        <v>314</v>
      </c>
      <c r="D276" s="2" t="s">
        <v>41</v>
      </c>
      <c r="E276" s="2">
        <v>27</v>
      </c>
      <c r="F276" s="2">
        <v>4.5925925925925899</v>
      </c>
      <c r="G276" s="2">
        <v>4.5429523105020504</v>
      </c>
      <c r="H276" s="2">
        <v>4.5429523105020504</v>
      </c>
      <c r="I276" s="2">
        <v>4.39175305000742</v>
      </c>
      <c r="J276" s="2">
        <v>4.1622494691629903</v>
      </c>
      <c r="K276" s="2">
        <v>3.67269718546686</v>
      </c>
      <c r="L276" s="2">
        <v>3.1377717749301399</v>
      </c>
      <c r="M276">
        <f>products_final_scores_scenarios[[#This Row],[rating_raw]]*products_final_scores_scenarios[[#This Row],[reviews_count]]</f>
        <v>123.99999999999993</v>
      </c>
      <c r="N276">
        <f>products_final_scores_scenarios[[#This Row],[rating_smoothed]]*products_final_scores_scenarios[[#This Row],[reviews_count]]</f>
        <v>122.65971238355536</v>
      </c>
      <c r="O276">
        <f>products_final_scores_scenarios[[#This Row],[final_score__balanced]]*products_final_scores_scenarios[[#This Row],[reviews_count]]</f>
        <v>112.38073566740074</v>
      </c>
    </row>
    <row r="277" spans="1:15" x14ac:dyDescent="0.3">
      <c r="A277" s="2" t="s">
        <v>342</v>
      </c>
      <c r="B277" s="2" t="s">
        <v>340</v>
      </c>
      <c r="C277" s="2">
        <v>314</v>
      </c>
      <c r="D277" s="2" t="s">
        <v>41</v>
      </c>
      <c r="E277" s="2">
        <v>27</v>
      </c>
      <c r="F277" s="2">
        <v>4.5925925925925899</v>
      </c>
      <c r="G277" s="2">
        <v>4.5429523105020504</v>
      </c>
      <c r="H277" s="2">
        <v>4.5429523105020504</v>
      </c>
      <c r="I277" s="2">
        <v>4.39175305000742</v>
      </c>
      <c r="J277" s="2">
        <v>4.1622494691629903</v>
      </c>
      <c r="K277" s="2">
        <v>3.67269718546686</v>
      </c>
      <c r="L277" s="2">
        <v>3.1377717749301399</v>
      </c>
      <c r="M277">
        <f>products_final_scores_scenarios[[#This Row],[rating_raw]]*products_final_scores_scenarios[[#This Row],[reviews_count]]</f>
        <v>123.99999999999993</v>
      </c>
      <c r="N277">
        <f>products_final_scores_scenarios[[#This Row],[rating_smoothed]]*products_final_scores_scenarios[[#This Row],[reviews_count]]</f>
        <v>122.65971238355536</v>
      </c>
      <c r="O277">
        <f>products_final_scores_scenarios[[#This Row],[final_score__balanced]]*products_final_scores_scenarios[[#This Row],[reviews_count]]</f>
        <v>112.38073566740074</v>
      </c>
    </row>
    <row r="278" spans="1:15" x14ac:dyDescent="0.3">
      <c r="A278" s="2" t="s">
        <v>343</v>
      </c>
      <c r="B278" s="2" t="s">
        <v>340</v>
      </c>
      <c r="C278" s="2">
        <v>314</v>
      </c>
      <c r="D278" s="2" t="s">
        <v>41</v>
      </c>
      <c r="E278" s="2">
        <v>54</v>
      </c>
      <c r="F278" s="2">
        <v>4.8518518518518503</v>
      </c>
      <c r="G278" s="2">
        <v>4.7502534945080601</v>
      </c>
      <c r="H278" s="2">
        <v>4.7502534945080601</v>
      </c>
      <c r="I278" s="2">
        <v>4.6918117961063404</v>
      </c>
      <c r="J278" s="2">
        <v>4.5969847958497496</v>
      </c>
      <c r="K278" s="2">
        <v>4.3444230382848303</v>
      </c>
      <c r="L278" s="2">
        <v>4.0576609019154599</v>
      </c>
      <c r="M278">
        <f>products_final_scores_scenarios[[#This Row],[rating_raw]]*products_final_scores_scenarios[[#This Row],[reviews_count]]</f>
        <v>261.99999999999994</v>
      </c>
      <c r="N278">
        <f>products_final_scores_scenarios[[#This Row],[rating_smoothed]]*products_final_scores_scenarios[[#This Row],[reviews_count]]</f>
        <v>256.51368870343526</v>
      </c>
      <c r="O278">
        <f>products_final_scores_scenarios[[#This Row],[final_score__balanced]]*products_final_scores_scenarios[[#This Row],[reviews_count]]</f>
        <v>248.23717897588648</v>
      </c>
    </row>
    <row r="279" spans="1:15" x14ac:dyDescent="0.3">
      <c r="A279" s="2" t="s">
        <v>344</v>
      </c>
      <c r="B279" s="2" t="s">
        <v>340</v>
      </c>
      <c r="C279" s="2">
        <v>314</v>
      </c>
      <c r="D279" s="2" t="s">
        <v>41</v>
      </c>
      <c r="E279" s="2">
        <v>66</v>
      </c>
      <c r="F279" s="2">
        <v>4.6818181818181799</v>
      </c>
      <c r="G279" s="2">
        <v>4.6339390534139104</v>
      </c>
      <c r="H279" s="2">
        <v>4.6339390534139104</v>
      </c>
      <c r="I279" s="2">
        <v>4.4901926216357504</v>
      </c>
      <c r="J279" s="2">
        <v>4.2728805685104598</v>
      </c>
      <c r="K279" s="2">
        <v>3.81716955431637</v>
      </c>
      <c r="L279" s="2">
        <v>3.3203643758785701</v>
      </c>
      <c r="M279">
        <f>products_final_scores_scenarios[[#This Row],[rating_raw]]*products_final_scores_scenarios[[#This Row],[reviews_count]]</f>
        <v>308.99999999999989</v>
      </c>
      <c r="N279">
        <f>products_final_scores_scenarios[[#This Row],[rating_smoothed]]*products_final_scores_scenarios[[#This Row],[reviews_count]]</f>
        <v>305.83997752531809</v>
      </c>
      <c r="O279">
        <f>products_final_scores_scenarios[[#This Row],[final_score__balanced]]*products_final_scores_scenarios[[#This Row],[reviews_count]]</f>
        <v>282.01011752169035</v>
      </c>
    </row>
    <row r="280" spans="1:15" x14ac:dyDescent="0.3">
      <c r="A280" s="2" t="s">
        <v>345</v>
      </c>
      <c r="B280" s="2" t="s">
        <v>340</v>
      </c>
      <c r="C280" s="2">
        <v>314</v>
      </c>
      <c r="D280" s="2" t="s">
        <v>41</v>
      </c>
      <c r="E280" s="2">
        <v>27</v>
      </c>
      <c r="F280" s="2">
        <v>4.1111111111111098</v>
      </c>
      <c r="G280" s="2">
        <v>4.2663565658211997</v>
      </c>
      <c r="H280" s="2">
        <v>4.2663565658211997</v>
      </c>
      <c r="I280" s="2">
        <v>4.1525173396784103</v>
      </c>
      <c r="J280" s="2">
        <v>3.9639194213951798</v>
      </c>
      <c r="K280" s="2">
        <v>3.5194203460523199</v>
      </c>
      <c r="L280" s="2">
        <v>3.0049129870377902</v>
      </c>
      <c r="M280">
        <f>products_final_scores_scenarios[[#This Row],[rating_raw]]*products_final_scores_scenarios[[#This Row],[reviews_count]]</f>
        <v>110.99999999999997</v>
      </c>
      <c r="N280">
        <f>products_final_scores_scenarios[[#This Row],[rating_smoothed]]*products_final_scores_scenarios[[#This Row],[reviews_count]]</f>
        <v>115.19162727717239</v>
      </c>
      <c r="O280">
        <f>products_final_scores_scenarios[[#This Row],[final_score__balanced]]*products_final_scores_scenarios[[#This Row],[reviews_count]]</f>
        <v>107.02582437766985</v>
      </c>
    </row>
    <row r="281" spans="1:15" x14ac:dyDescent="0.3">
      <c r="A281" s="2" t="s">
        <v>346</v>
      </c>
      <c r="B281" s="2" t="s">
        <v>340</v>
      </c>
      <c r="C281" s="2">
        <v>314</v>
      </c>
      <c r="D281" s="2" t="s">
        <v>41</v>
      </c>
      <c r="E281" s="2">
        <v>60</v>
      </c>
      <c r="F281" s="2">
        <v>4.6500000000000004</v>
      </c>
      <c r="G281" s="2">
        <v>4.6064844824199502</v>
      </c>
      <c r="H281" s="2">
        <v>4.6064844824199502</v>
      </c>
      <c r="I281" s="2">
        <v>4.5536096151245999</v>
      </c>
      <c r="J281" s="2">
        <v>4.4670138814833704</v>
      </c>
      <c r="K281" s="2">
        <v>4.2309574609092699</v>
      </c>
      <c r="L281" s="2">
        <v>3.9613798397456002</v>
      </c>
      <c r="M281">
        <f>products_final_scores_scenarios[[#This Row],[rating_raw]]*products_final_scores_scenarios[[#This Row],[reviews_count]]</f>
        <v>279</v>
      </c>
      <c r="N281">
        <f>products_final_scores_scenarios[[#This Row],[rating_smoothed]]*products_final_scores_scenarios[[#This Row],[reviews_count]]</f>
        <v>276.38906894519704</v>
      </c>
      <c r="O281">
        <f>products_final_scores_scenarios[[#This Row],[final_score__balanced]]*products_final_scores_scenarios[[#This Row],[reviews_count]]</f>
        <v>268.02083288900224</v>
      </c>
    </row>
    <row r="282" spans="1:15" x14ac:dyDescent="0.3">
      <c r="A282" s="2" t="s">
        <v>347</v>
      </c>
      <c r="B282" s="2" t="s">
        <v>340</v>
      </c>
      <c r="C282" s="2">
        <v>314</v>
      </c>
      <c r="D282" s="2" t="s">
        <v>41</v>
      </c>
      <c r="E282" s="2">
        <v>51</v>
      </c>
      <c r="F282" s="2">
        <v>4.5882352941176396</v>
      </c>
      <c r="G282" s="2">
        <v>4.5566022337126197</v>
      </c>
      <c r="H282" s="2">
        <v>4.5566022337126197</v>
      </c>
      <c r="I282" s="2">
        <v>4.4679227979471801</v>
      </c>
      <c r="J282" s="2">
        <v>4.3285449481860203</v>
      </c>
      <c r="K282" s="2">
        <v>3.99300180643605</v>
      </c>
      <c r="L282" s="2">
        <v>3.61882642449739</v>
      </c>
      <c r="M282">
        <f>products_final_scores_scenarios[[#This Row],[rating_raw]]*products_final_scores_scenarios[[#This Row],[reviews_count]]</f>
        <v>233.99999999999963</v>
      </c>
      <c r="N282">
        <f>products_final_scores_scenarios[[#This Row],[rating_smoothed]]*products_final_scores_scenarios[[#This Row],[reviews_count]]</f>
        <v>232.38671391934361</v>
      </c>
      <c r="O282">
        <f>products_final_scores_scenarios[[#This Row],[final_score__balanced]]*products_final_scores_scenarios[[#This Row],[reviews_count]]</f>
        <v>220.75579235748702</v>
      </c>
    </row>
    <row r="283" spans="1:15" x14ac:dyDescent="0.3">
      <c r="A283" s="2" t="s">
        <v>348</v>
      </c>
      <c r="B283" s="2" t="s">
        <v>340</v>
      </c>
      <c r="C283" s="2">
        <v>314</v>
      </c>
      <c r="D283" s="2" t="s">
        <v>41</v>
      </c>
      <c r="E283" s="2">
        <v>84</v>
      </c>
      <c r="F283" s="2">
        <v>4.5238095238095202</v>
      </c>
      <c r="G283" s="2">
        <v>4.5146034480153503</v>
      </c>
      <c r="H283" s="2">
        <v>4.5146034480153503</v>
      </c>
      <c r="I283" s="2">
        <v>4.4428046717487701</v>
      </c>
      <c r="J283" s="2">
        <v>4.3303588816147798</v>
      </c>
      <c r="K283" s="2">
        <v>4.0492585002477597</v>
      </c>
      <c r="L283" s="2">
        <v>3.73801930063743</v>
      </c>
      <c r="M283">
        <f>products_final_scores_scenarios[[#This Row],[rating_raw]]*products_final_scores_scenarios[[#This Row],[reviews_count]]</f>
        <v>379.99999999999972</v>
      </c>
      <c r="N283">
        <f>products_final_scores_scenarios[[#This Row],[rating_smoothed]]*products_final_scores_scenarios[[#This Row],[reviews_count]]</f>
        <v>379.22668963328942</v>
      </c>
      <c r="O283">
        <f>products_final_scores_scenarios[[#This Row],[final_score__balanced]]*products_final_scores_scenarios[[#This Row],[reviews_count]]</f>
        <v>363.75014605564149</v>
      </c>
    </row>
    <row r="284" spans="1:15" x14ac:dyDescent="0.3">
      <c r="A284" s="2" t="s">
        <v>349</v>
      </c>
      <c r="B284" s="2" t="s">
        <v>340</v>
      </c>
      <c r="C284" s="2">
        <v>314</v>
      </c>
      <c r="D284" s="2" t="s">
        <v>41</v>
      </c>
      <c r="E284" s="2">
        <v>82</v>
      </c>
      <c r="F284" s="2">
        <v>4.6585365853658498</v>
      </c>
      <c r="G284" s="2">
        <v>4.6227329273882001</v>
      </c>
      <c r="H284" s="2">
        <v>4.6227329273882001</v>
      </c>
      <c r="I284" s="2">
        <v>4.5146854393062004</v>
      </c>
      <c r="J284" s="2">
        <v>4.3489020793622197</v>
      </c>
      <c r="K284" s="2">
        <v>3.9709187600510401</v>
      </c>
      <c r="L284" s="2">
        <v>3.55593420820307</v>
      </c>
      <c r="M284">
        <f>products_final_scores_scenarios[[#This Row],[rating_raw]]*products_final_scores_scenarios[[#This Row],[reviews_count]]</f>
        <v>381.99999999999966</v>
      </c>
      <c r="N284">
        <f>products_final_scores_scenarios[[#This Row],[rating_smoothed]]*products_final_scores_scenarios[[#This Row],[reviews_count]]</f>
        <v>379.06410004583239</v>
      </c>
      <c r="O284">
        <f>products_final_scores_scenarios[[#This Row],[final_score__balanced]]*products_final_scores_scenarios[[#This Row],[reviews_count]]</f>
        <v>356.60997050770203</v>
      </c>
    </row>
    <row r="285" spans="1:15" x14ac:dyDescent="0.3">
      <c r="A285" s="2" t="s">
        <v>350</v>
      </c>
      <c r="B285" s="2" t="s">
        <v>340</v>
      </c>
      <c r="C285" s="2">
        <v>314</v>
      </c>
      <c r="D285" s="2" t="s">
        <v>41</v>
      </c>
      <c r="E285" s="2">
        <v>142</v>
      </c>
      <c r="F285" s="2">
        <v>4.35211267605633</v>
      </c>
      <c r="G285" s="2">
        <v>4.36739974440491</v>
      </c>
      <c r="H285" s="2">
        <v>4.36739974440491</v>
      </c>
      <c r="I285" s="2">
        <v>4.2701867302293399</v>
      </c>
      <c r="J285" s="2">
        <v>4.1236529782123501</v>
      </c>
      <c r="K285" s="2">
        <v>3.7855220318694101</v>
      </c>
      <c r="L285" s="2">
        <v>3.4203053539629198</v>
      </c>
      <c r="M285">
        <f>products_final_scores_scenarios[[#This Row],[rating_raw]]*products_final_scores_scenarios[[#This Row],[reviews_count]]</f>
        <v>617.99999999999886</v>
      </c>
      <c r="N285">
        <f>products_final_scores_scenarios[[#This Row],[rating_smoothed]]*products_final_scores_scenarios[[#This Row],[reviews_count]]</f>
        <v>620.17076370549717</v>
      </c>
      <c r="O285">
        <f>products_final_scores_scenarios[[#This Row],[final_score__balanced]]*products_final_scores_scenarios[[#This Row],[reviews_count]]</f>
        <v>585.55872290615366</v>
      </c>
    </row>
    <row r="286" spans="1:15" x14ac:dyDescent="0.3">
      <c r="A286" s="2" t="s">
        <v>351</v>
      </c>
      <c r="B286" s="2" t="s">
        <v>340</v>
      </c>
      <c r="C286" s="2">
        <v>314</v>
      </c>
      <c r="D286" s="2" t="s">
        <v>41</v>
      </c>
      <c r="E286" s="2">
        <v>66</v>
      </c>
      <c r="F286" s="2">
        <v>4.7272727272727204</v>
      </c>
      <c r="G286" s="2">
        <v>4.6688227743441404</v>
      </c>
      <c r="H286" s="2">
        <v>4.6688227743441404</v>
      </c>
      <c r="I286" s="2">
        <v>4.5124463142011999</v>
      </c>
      <c r="J286" s="2">
        <v>4.2802109862581901</v>
      </c>
      <c r="K286" s="2">
        <v>3.7973317455303901</v>
      </c>
      <c r="L286" s="2">
        <v>3.2773185784834298</v>
      </c>
      <c r="M286">
        <f>products_final_scores_scenarios[[#This Row],[rating_raw]]*products_final_scores_scenarios[[#This Row],[reviews_count]]</f>
        <v>311.99999999999955</v>
      </c>
      <c r="N286">
        <f>products_final_scores_scenarios[[#This Row],[rating_smoothed]]*products_final_scores_scenarios[[#This Row],[reviews_count]]</f>
        <v>308.14230310671326</v>
      </c>
      <c r="O286">
        <f>products_final_scores_scenarios[[#This Row],[final_score__balanced]]*products_final_scores_scenarios[[#This Row],[reviews_count]]</f>
        <v>282.49392509304056</v>
      </c>
    </row>
    <row r="287" spans="1:15" x14ac:dyDescent="0.3">
      <c r="A287" s="2" t="s">
        <v>352</v>
      </c>
      <c r="B287" s="2" t="s">
        <v>340</v>
      </c>
      <c r="C287" s="2">
        <v>314</v>
      </c>
      <c r="D287" s="2" t="s">
        <v>41</v>
      </c>
      <c r="E287" s="2">
        <v>42</v>
      </c>
      <c r="F287" s="2">
        <v>3.9285714285714199</v>
      </c>
      <c r="G287" s="2">
        <v>4.1051412676386496</v>
      </c>
      <c r="H287" s="2">
        <v>4.1051412676386496</v>
      </c>
      <c r="I287" s="2">
        <v>3.9756028011620002</v>
      </c>
      <c r="J287" s="2">
        <v>3.8114875174390099</v>
      </c>
      <c r="K287" s="2">
        <v>3.4920819101718799</v>
      </c>
      <c r="L287" s="2">
        <v>3.1964530451364102</v>
      </c>
      <c r="M287">
        <f>products_final_scores_scenarios[[#This Row],[rating_raw]]*products_final_scores_scenarios[[#This Row],[reviews_count]]</f>
        <v>164.99999999999963</v>
      </c>
      <c r="N287">
        <f>products_final_scores_scenarios[[#This Row],[rating_smoothed]]*products_final_scores_scenarios[[#This Row],[reviews_count]]</f>
        <v>172.41593324082328</v>
      </c>
      <c r="O287">
        <f>products_final_scores_scenarios[[#This Row],[final_score__balanced]]*products_final_scores_scenarios[[#This Row],[reviews_count]]</f>
        <v>160.08247573243841</v>
      </c>
    </row>
    <row r="288" spans="1:15" x14ac:dyDescent="0.3">
      <c r="A288" s="2" t="s">
        <v>353</v>
      </c>
      <c r="B288" s="2" t="s">
        <v>340</v>
      </c>
      <c r="C288" s="2">
        <v>314</v>
      </c>
      <c r="D288" s="2" t="s">
        <v>41</v>
      </c>
      <c r="E288" s="2">
        <v>1</v>
      </c>
      <c r="F288" s="2">
        <v>5</v>
      </c>
      <c r="G288" s="2">
        <v>4.5008932663617403</v>
      </c>
      <c r="H288" s="2">
        <v>4.5008932663617403</v>
      </c>
      <c r="I288" s="2">
        <v>4.4408932663617398</v>
      </c>
      <c r="J288" s="2">
        <v>4.3408932663617401</v>
      </c>
      <c r="K288" s="2">
        <v>4.1758932663617401</v>
      </c>
      <c r="L288" s="2">
        <v>4.1608932663617404</v>
      </c>
      <c r="M288">
        <f>products_final_scores_scenarios[[#This Row],[rating_raw]]*products_final_scores_scenarios[[#This Row],[reviews_count]]</f>
        <v>5</v>
      </c>
      <c r="N288">
        <f>products_final_scores_scenarios[[#This Row],[rating_smoothed]]*products_final_scores_scenarios[[#This Row],[reviews_count]]</f>
        <v>4.5008932663617403</v>
      </c>
      <c r="O288">
        <f>products_final_scores_scenarios[[#This Row],[final_score__balanced]]*products_final_scores_scenarios[[#This Row],[reviews_count]]</f>
        <v>4.3408932663617401</v>
      </c>
    </row>
    <row r="289" spans="1:15" x14ac:dyDescent="0.3">
      <c r="A289" s="2" t="s">
        <v>354</v>
      </c>
      <c r="B289" s="2" t="s">
        <v>340</v>
      </c>
      <c r="C289" s="2">
        <v>314</v>
      </c>
      <c r="D289" s="2" t="s">
        <v>41</v>
      </c>
      <c r="E289" s="2">
        <v>232</v>
      </c>
      <c r="F289" s="2">
        <v>4.6120689655172402</v>
      </c>
      <c r="G289" s="2">
        <v>4.6012649150539504</v>
      </c>
      <c r="H289" s="2">
        <v>4.6012649150539504</v>
      </c>
      <c r="I289" s="2">
        <v>4.5182999713170604</v>
      </c>
      <c r="J289" s="2">
        <v>4.3906836821407396</v>
      </c>
      <c r="K289" s="2">
        <v>4.0854276269760001</v>
      </c>
      <c r="L289" s="2">
        <v>3.75111643888477</v>
      </c>
      <c r="M289">
        <f>products_final_scores_scenarios[[#This Row],[rating_raw]]*products_final_scores_scenarios[[#This Row],[reviews_count]]</f>
        <v>1069.9999999999998</v>
      </c>
      <c r="N289">
        <f>products_final_scores_scenarios[[#This Row],[rating_smoothed]]*products_final_scores_scenarios[[#This Row],[reviews_count]]</f>
        <v>1067.4934602925166</v>
      </c>
      <c r="O289">
        <f>products_final_scores_scenarios[[#This Row],[final_score__balanced]]*products_final_scores_scenarios[[#This Row],[reviews_count]]</f>
        <v>1018.6386142566516</v>
      </c>
    </row>
    <row r="290" spans="1:15" x14ac:dyDescent="0.3">
      <c r="A290" s="2" t="s">
        <v>355</v>
      </c>
      <c r="B290" s="2" t="s">
        <v>340</v>
      </c>
      <c r="C290" s="2">
        <v>314</v>
      </c>
      <c r="D290" s="2" t="s">
        <v>41</v>
      </c>
      <c r="E290" s="2">
        <v>278</v>
      </c>
      <c r="F290" s="2">
        <v>4.63669064748201</v>
      </c>
      <c r="G290" s="2">
        <v>4.6259018744751499</v>
      </c>
      <c r="H290" s="2">
        <v>4.6259018744751499</v>
      </c>
      <c r="I290" s="2">
        <v>4.5356914971826701</v>
      </c>
      <c r="J290" s="2">
        <v>4.3926033117486698</v>
      </c>
      <c r="K290" s="2">
        <v>4.0464955597315697</v>
      </c>
      <c r="L290" s="2">
        <v>3.65778265273658</v>
      </c>
      <c r="M290">
        <f>products_final_scores_scenarios[[#This Row],[rating_raw]]*products_final_scores_scenarios[[#This Row],[reviews_count]]</f>
        <v>1288.9999999999989</v>
      </c>
      <c r="N290">
        <f>products_final_scores_scenarios[[#This Row],[rating_smoothed]]*products_final_scores_scenarios[[#This Row],[reviews_count]]</f>
        <v>1286.0007211040918</v>
      </c>
      <c r="O290">
        <f>products_final_scores_scenarios[[#This Row],[final_score__balanced]]*products_final_scores_scenarios[[#This Row],[reviews_count]]</f>
        <v>1221.1437206661301</v>
      </c>
    </row>
    <row r="291" spans="1:15" x14ac:dyDescent="0.3">
      <c r="A291" s="2" t="s">
        <v>356</v>
      </c>
      <c r="B291" s="2" t="s">
        <v>340</v>
      </c>
      <c r="C291" s="2">
        <v>314</v>
      </c>
      <c r="D291" s="2" t="s">
        <v>41</v>
      </c>
      <c r="E291" s="2">
        <v>178</v>
      </c>
      <c r="F291" s="2">
        <v>4.5224719101123503</v>
      </c>
      <c r="G291" s="2">
        <v>4.5177715080484599</v>
      </c>
      <c r="H291" s="2">
        <v>4.5177715080484599</v>
      </c>
      <c r="I291" s="2">
        <v>4.4311276013218102</v>
      </c>
      <c r="J291" s="2">
        <v>4.3004107231486097</v>
      </c>
      <c r="K291" s="2">
        <v>3.9914581831421598</v>
      </c>
      <c r="L291" s="2">
        <v>3.6586612118967201</v>
      </c>
      <c r="M291">
        <f>products_final_scores_scenarios[[#This Row],[rating_raw]]*products_final_scores_scenarios[[#This Row],[reviews_count]]</f>
        <v>804.99999999999829</v>
      </c>
      <c r="N291">
        <f>products_final_scores_scenarios[[#This Row],[rating_smoothed]]*products_final_scores_scenarios[[#This Row],[reviews_count]]</f>
        <v>804.16332843262592</v>
      </c>
      <c r="O291">
        <f>products_final_scores_scenarios[[#This Row],[final_score__balanced]]*products_final_scores_scenarios[[#This Row],[reviews_count]]</f>
        <v>765.4731087204525</v>
      </c>
    </row>
    <row r="292" spans="1:15" x14ac:dyDescent="0.3">
      <c r="A292" s="2" t="s">
        <v>357</v>
      </c>
      <c r="B292" s="2" t="s">
        <v>340</v>
      </c>
      <c r="C292" s="2">
        <v>314</v>
      </c>
      <c r="D292" s="2" t="s">
        <v>41</v>
      </c>
      <c r="E292" s="2">
        <v>3</v>
      </c>
      <c r="F292" s="2">
        <v>5</v>
      </c>
      <c r="G292" s="2">
        <v>4.5442938518954996</v>
      </c>
      <c r="H292" s="2">
        <v>4.5442938518954996</v>
      </c>
      <c r="I292" s="2">
        <v>4.3642938518954999</v>
      </c>
      <c r="J292" s="2">
        <v>4.0642938518955001</v>
      </c>
      <c r="K292" s="2">
        <v>3.5692938518955</v>
      </c>
      <c r="L292" s="2">
        <v>3.5242938518955</v>
      </c>
      <c r="M292">
        <f>products_final_scores_scenarios[[#This Row],[rating_raw]]*products_final_scores_scenarios[[#This Row],[reviews_count]]</f>
        <v>15</v>
      </c>
      <c r="N292">
        <f>products_final_scores_scenarios[[#This Row],[rating_smoothed]]*products_final_scores_scenarios[[#This Row],[reviews_count]]</f>
        <v>13.632881555686499</v>
      </c>
      <c r="O292">
        <f>products_final_scores_scenarios[[#This Row],[final_score__balanced]]*products_final_scores_scenarios[[#This Row],[reviews_count]]</f>
        <v>12.192881555686501</v>
      </c>
    </row>
    <row r="293" spans="1:15" x14ac:dyDescent="0.3">
      <c r="A293" s="2" t="s">
        <v>358</v>
      </c>
      <c r="B293" s="2" t="s">
        <v>340</v>
      </c>
      <c r="C293" s="2">
        <v>314</v>
      </c>
      <c r="D293" s="2" t="s">
        <v>41</v>
      </c>
      <c r="E293" s="2">
        <v>15</v>
      </c>
      <c r="F293" s="2">
        <v>5</v>
      </c>
      <c r="G293" s="2">
        <v>4.7005359598170404</v>
      </c>
      <c r="H293" s="2">
        <v>4.7005359598170404</v>
      </c>
      <c r="I293" s="2">
        <v>4.6075061395244701</v>
      </c>
      <c r="J293" s="2">
        <v>4.4621186743165397</v>
      </c>
      <c r="K293" s="2">
        <v>4.1214444316596701</v>
      </c>
      <c r="L293" s="2">
        <v>3.7426044382561301</v>
      </c>
      <c r="M293">
        <f>products_final_scores_scenarios[[#This Row],[rating_raw]]*products_final_scores_scenarios[[#This Row],[reviews_count]]</f>
        <v>75</v>
      </c>
      <c r="N293">
        <f>products_final_scores_scenarios[[#This Row],[rating_smoothed]]*products_final_scores_scenarios[[#This Row],[reviews_count]]</f>
        <v>70.508039397255601</v>
      </c>
      <c r="O293">
        <f>products_final_scores_scenarios[[#This Row],[final_score__balanced]]*products_final_scores_scenarios[[#This Row],[reviews_count]]</f>
        <v>66.931780114748094</v>
      </c>
    </row>
    <row r="294" spans="1:15" x14ac:dyDescent="0.3">
      <c r="A294" s="2" t="s">
        <v>359</v>
      </c>
      <c r="B294" s="2" t="s">
        <v>340</v>
      </c>
      <c r="C294" s="2">
        <v>314</v>
      </c>
      <c r="D294" s="2" t="s">
        <v>41</v>
      </c>
      <c r="E294" s="2">
        <v>23</v>
      </c>
      <c r="F294" s="2">
        <v>4.6086956521739104</v>
      </c>
      <c r="G294" s="2">
        <v>4.5469478742696801</v>
      </c>
      <c r="H294" s="2">
        <v>4.5469478742696801</v>
      </c>
      <c r="I294" s="2">
        <v>4.3526049606918003</v>
      </c>
      <c r="J294" s="2">
        <v>4.0707670662676501</v>
      </c>
      <c r="K294" s="2">
        <v>3.51685994359761</v>
      </c>
      <c r="L294" s="2">
        <v>2.92869470430499</v>
      </c>
      <c r="M294">
        <f>products_final_scores_scenarios[[#This Row],[rating_raw]]*products_final_scores_scenarios[[#This Row],[reviews_count]]</f>
        <v>105.99999999999994</v>
      </c>
      <c r="N294">
        <f>products_final_scores_scenarios[[#This Row],[rating_smoothed]]*products_final_scores_scenarios[[#This Row],[reviews_count]]</f>
        <v>104.57980110820264</v>
      </c>
      <c r="O294">
        <f>products_final_scores_scenarios[[#This Row],[final_score__balanced]]*products_final_scores_scenarios[[#This Row],[reviews_count]]</f>
        <v>93.627642524155945</v>
      </c>
    </row>
    <row r="295" spans="1:15" x14ac:dyDescent="0.3">
      <c r="A295" s="2" t="s">
        <v>360</v>
      </c>
      <c r="B295" s="2" t="s">
        <v>340</v>
      </c>
      <c r="C295" s="2">
        <v>314</v>
      </c>
      <c r="D295" s="2" t="s">
        <v>41</v>
      </c>
      <c r="E295" s="2">
        <v>7</v>
      </c>
      <c r="F295" s="2">
        <v>4.71428571428571</v>
      </c>
      <c r="G295" s="2">
        <v>4.5377317997628301</v>
      </c>
      <c r="H295" s="2">
        <v>4.5377317997628301</v>
      </c>
      <c r="I295" s="2">
        <v>4.4415032246658903</v>
      </c>
      <c r="J295" s="2">
        <v>4.2923211656674196</v>
      </c>
      <c r="K295" s="2">
        <v>3.9684623964008301</v>
      </c>
      <c r="L295" s="2">
        <v>3.91895839110654</v>
      </c>
      <c r="M295">
        <f>products_final_scores_scenarios[[#This Row],[rating_raw]]*products_final_scores_scenarios[[#This Row],[reviews_count]]</f>
        <v>32.999999999999972</v>
      </c>
      <c r="N295">
        <f>products_final_scores_scenarios[[#This Row],[rating_smoothed]]*products_final_scores_scenarios[[#This Row],[reviews_count]]</f>
        <v>31.76412259833981</v>
      </c>
      <c r="O295">
        <f>products_final_scores_scenarios[[#This Row],[final_score__balanced]]*products_final_scores_scenarios[[#This Row],[reviews_count]]</f>
        <v>30.046248159671936</v>
      </c>
    </row>
    <row r="296" spans="1:15" x14ac:dyDescent="0.3">
      <c r="A296" s="2" t="s">
        <v>361</v>
      </c>
      <c r="B296" s="2" t="s">
        <v>340</v>
      </c>
      <c r="C296" s="2">
        <v>225</v>
      </c>
      <c r="D296" s="2" t="s">
        <v>35</v>
      </c>
      <c r="E296" s="2">
        <v>9</v>
      </c>
      <c r="F296" s="2">
        <v>4.8888888888888804</v>
      </c>
      <c r="G296" s="2">
        <v>4.6536929555024402</v>
      </c>
      <c r="H296" s="2">
        <v>4.6536929555024402</v>
      </c>
      <c r="I296" s="2">
        <v>4.5503766830367196</v>
      </c>
      <c r="J296" s="2">
        <v>4.3895052146361904</v>
      </c>
      <c r="K296" s="2">
        <v>4.0209940399335098</v>
      </c>
      <c r="L296" s="2">
        <v>3.9591569615369901</v>
      </c>
      <c r="M296">
        <f>products_final_scores_scenarios[[#This Row],[rating_raw]]*products_final_scores_scenarios[[#This Row],[reviews_count]]</f>
        <v>43.999999999999922</v>
      </c>
      <c r="N296">
        <f>products_final_scores_scenarios[[#This Row],[rating_smoothed]]*products_final_scores_scenarios[[#This Row],[reviews_count]]</f>
        <v>41.883236599521965</v>
      </c>
      <c r="O296">
        <f>products_final_scores_scenarios[[#This Row],[final_score__balanced]]*products_final_scores_scenarios[[#This Row],[reviews_count]]</f>
        <v>39.505546931725711</v>
      </c>
    </row>
    <row r="297" spans="1:15" x14ac:dyDescent="0.3">
      <c r="A297" s="2" t="s">
        <v>362</v>
      </c>
      <c r="B297" s="2" t="s">
        <v>102</v>
      </c>
      <c r="C297" s="2">
        <v>76</v>
      </c>
      <c r="D297" s="2" t="s">
        <v>14</v>
      </c>
      <c r="E297" s="2">
        <v>3</v>
      </c>
      <c r="F297" s="2">
        <v>3.3333333333333299</v>
      </c>
      <c r="G297" s="2">
        <v>4.3638725452739298</v>
      </c>
      <c r="H297" s="2">
        <v>4.3638725452739298</v>
      </c>
      <c r="I297" s="2">
        <v>4.3638725452739298</v>
      </c>
      <c r="J297" s="2">
        <v>4.3638725452739298</v>
      </c>
      <c r="K297" s="2">
        <v>4.3638725452739298</v>
      </c>
      <c r="L297" s="2">
        <v>4.3638725452739298</v>
      </c>
      <c r="M297">
        <f>products_final_scores_scenarios[[#This Row],[rating_raw]]*products_final_scores_scenarios[[#This Row],[reviews_count]]</f>
        <v>9.9999999999999893</v>
      </c>
      <c r="N297">
        <f>products_final_scores_scenarios[[#This Row],[rating_smoothed]]*products_final_scores_scenarios[[#This Row],[reviews_count]]</f>
        <v>13.091617635821789</v>
      </c>
      <c r="O297">
        <f>products_final_scores_scenarios[[#This Row],[final_score__balanced]]*products_final_scores_scenarios[[#This Row],[reviews_count]]</f>
        <v>13.091617635821789</v>
      </c>
    </row>
    <row r="298" spans="1:15" x14ac:dyDescent="0.3">
      <c r="A298" s="2" t="s">
        <v>363</v>
      </c>
      <c r="B298" s="2" t="s">
        <v>364</v>
      </c>
      <c r="C298" s="2">
        <v>4</v>
      </c>
      <c r="D298" s="2" t="s">
        <v>22</v>
      </c>
      <c r="E298" s="2">
        <v>12</v>
      </c>
      <c r="F298" s="2">
        <v>4.5833333333333304</v>
      </c>
      <c r="G298" s="2">
        <v>4.5634284267386898</v>
      </c>
      <c r="H298" s="2">
        <v>4.5634284267386898</v>
      </c>
      <c r="I298" s="2">
        <v>4.4441712016886497</v>
      </c>
      <c r="J298" s="2">
        <v>4.2683717966908601</v>
      </c>
      <c r="K298" s="2">
        <v>3.8855778579221698</v>
      </c>
      <c r="L298" s="2">
        <v>3.6945395378498</v>
      </c>
      <c r="M298">
        <f>products_final_scores_scenarios[[#This Row],[rating_raw]]*products_final_scores_scenarios[[#This Row],[reviews_count]]</f>
        <v>54.999999999999964</v>
      </c>
      <c r="N298">
        <f>products_final_scores_scenarios[[#This Row],[rating_smoothed]]*products_final_scores_scenarios[[#This Row],[reviews_count]]</f>
        <v>54.761141120864281</v>
      </c>
      <c r="O298">
        <f>products_final_scores_scenarios[[#This Row],[final_score__balanced]]*products_final_scores_scenarios[[#This Row],[reviews_count]]</f>
        <v>51.220461560290317</v>
      </c>
    </row>
    <row r="299" spans="1:15" x14ac:dyDescent="0.3">
      <c r="A299" s="2" t="s">
        <v>365</v>
      </c>
      <c r="B299" s="2" t="s">
        <v>366</v>
      </c>
      <c r="C299" s="2">
        <v>314</v>
      </c>
      <c r="D299" s="2" t="s">
        <v>41</v>
      </c>
      <c r="E299" s="2">
        <v>6</v>
      </c>
      <c r="F299" s="2">
        <v>3.3333333333333299</v>
      </c>
      <c r="G299" s="2">
        <v>4.2122599459075598</v>
      </c>
      <c r="H299" s="2">
        <v>4.2122599459075598</v>
      </c>
      <c r="I299" s="2">
        <v>4.2122599459075598</v>
      </c>
      <c r="J299" s="2">
        <v>4.2122599459075598</v>
      </c>
      <c r="K299" s="2">
        <v>4.2122599459075598</v>
      </c>
      <c r="L299" s="2">
        <v>4.2122599459075598</v>
      </c>
      <c r="M299">
        <f>products_final_scores_scenarios[[#This Row],[rating_raw]]*products_final_scores_scenarios[[#This Row],[reviews_count]]</f>
        <v>19.999999999999979</v>
      </c>
      <c r="N299">
        <f>products_final_scores_scenarios[[#This Row],[rating_smoothed]]*products_final_scores_scenarios[[#This Row],[reviews_count]]</f>
        <v>25.273559675445359</v>
      </c>
      <c r="O299">
        <f>products_final_scores_scenarios[[#This Row],[final_score__balanced]]*products_final_scores_scenarios[[#This Row],[reviews_count]]</f>
        <v>25.273559675445359</v>
      </c>
    </row>
    <row r="300" spans="1:15" x14ac:dyDescent="0.3">
      <c r="A300" s="2" t="s">
        <v>367</v>
      </c>
      <c r="B300" s="2" t="s">
        <v>366</v>
      </c>
      <c r="C300" s="2">
        <v>314</v>
      </c>
      <c r="D300" s="2" t="s">
        <v>41</v>
      </c>
      <c r="E300" s="2">
        <v>18</v>
      </c>
      <c r="F300" s="2">
        <v>4.8888888888888804</v>
      </c>
      <c r="G300" s="2">
        <v>4.67154627877885</v>
      </c>
      <c r="H300" s="2">
        <v>4.67154627877885</v>
      </c>
      <c r="I300" s="2">
        <v>4.61310458037714</v>
      </c>
      <c r="J300" s="2">
        <v>4.5182775801205501</v>
      </c>
      <c r="K300" s="2">
        <v>4.2657158225556202</v>
      </c>
      <c r="L300" s="2">
        <v>3.97895368618626</v>
      </c>
      <c r="M300">
        <f>products_final_scores_scenarios[[#This Row],[rating_raw]]*products_final_scores_scenarios[[#This Row],[reviews_count]]</f>
        <v>87.999999999999844</v>
      </c>
      <c r="N300">
        <f>products_final_scores_scenarios[[#This Row],[rating_smoothed]]*products_final_scores_scenarios[[#This Row],[reviews_count]]</f>
        <v>84.087833018019296</v>
      </c>
      <c r="O300">
        <f>products_final_scores_scenarios[[#This Row],[final_score__balanced]]*products_final_scores_scenarios[[#This Row],[reviews_count]]</f>
        <v>81.32899644216991</v>
      </c>
    </row>
    <row r="301" spans="1:15" x14ac:dyDescent="0.3">
      <c r="A301" s="2" t="s">
        <v>368</v>
      </c>
      <c r="B301" s="2" t="s">
        <v>366</v>
      </c>
      <c r="C301" s="2">
        <v>314</v>
      </c>
      <c r="D301" s="2" t="s">
        <v>41</v>
      </c>
      <c r="E301" s="2">
        <v>10</v>
      </c>
      <c r="F301" s="2">
        <v>5</v>
      </c>
      <c r="G301" s="2">
        <v>4.6506252864532103</v>
      </c>
      <c r="H301" s="2">
        <v>4.6506252864532103</v>
      </c>
      <c r="I301" s="2">
        <v>4.3551086204681999</v>
      </c>
      <c r="J301" s="2">
        <v>3.8850754300000001</v>
      </c>
      <c r="K301" s="2">
        <v>3.0144485520291702</v>
      </c>
      <c r="L301" s="2">
        <v>2.9124303606753199</v>
      </c>
      <c r="M301">
        <f>products_final_scores_scenarios[[#This Row],[rating_raw]]*products_final_scores_scenarios[[#This Row],[reviews_count]]</f>
        <v>50</v>
      </c>
      <c r="N301">
        <f>products_final_scores_scenarios[[#This Row],[rating_smoothed]]*products_final_scores_scenarios[[#This Row],[reviews_count]]</f>
        <v>46.506252864532101</v>
      </c>
      <c r="O301">
        <f>products_final_scores_scenarios[[#This Row],[final_score__balanced]]*products_final_scores_scenarios[[#This Row],[reviews_count]]</f>
        <v>38.850754299999998</v>
      </c>
    </row>
    <row r="302" spans="1:15" x14ac:dyDescent="0.3">
      <c r="A302" s="2" t="s">
        <v>369</v>
      </c>
      <c r="B302" s="2" t="s">
        <v>370</v>
      </c>
      <c r="C302" s="2">
        <v>76</v>
      </c>
      <c r="D302" s="2" t="s">
        <v>14</v>
      </c>
      <c r="E302" s="2">
        <v>4</v>
      </c>
      <c r="F302" s="2">
        <v>5</v>
      </c>
      <c r="G302" s="2">
        <v>4.5987111892208503</v>
      </c>
      <c r="H302" s="2">
        <v>4.5987111892208503</v>
      </c>
      <c r="I302" s="2">
        <v>4.5987111892208503</v>
      </c>
      <c r="J302" s="2">
        <v>4.5987111892208503</v>
      </c>
      <c r="K302" s="2">
        <v>4.5987111892208503</v>
      </c>
      <c r="L302" s="2">
        <v>4.5987111892208503</v>
      </c>
      <c r="M302">
        <f>products_final_scores_scenarios[[#This Row],[rating_raw]]*products_final_scores_scenarios[[#This Row],[reviews_count]]</f>
        <v>20</v>
      </c>
      <c r="N302">
        <f>products_final_scores_scenarios[[#This Row],[rating_smoothed]]*products_final_scores_scenarios[[#This Row],[reviews_count]]</f>
        <v>18.394844756883401</v>
      </c>
      <c r="O302">
        <f>products_final_scores_scenarios[[#This Row],[final_score__balanced]]*products_final_scores_scenarios[[#This Row],[reviews_count]]</f>
        <v>18.394844756883401</v>
      </c>
    </row>
    <row r="303" spans="1:15" x14ac:dyDescent="0.3">
      <c r="A303" s="2" t="s">
        <v>371</v>
      </c>
      <c r="B303" s="2" t="s">
        <v>372</v>
      </c>
      <c r="C303" s="2">
        <v>76</v>
      </c>
      <c r="D303" s="2" t="s">
        <v>14</v>
      </c>
      <c r="E303" s="2">
        <v>6</v>
      </c>
      <c r="F303" s="2">
        <v>3.6666666666666599</v>
      </c>
      <c r="G303" s="2">
        <v>4.3218872515884801</v>
      </c>
      <c r="H303" s="2">
        <v>4.3218872515884801</v>
      </c>
      <c r="I303" s="2">
        <v>4.2474790399862199</v>
      </c>
      <c r="J303" s="2">
        <v>4.1557897929730796</v>
      </c>
      <c r="K303" s="2">
        <v>3.9856540439068202</v>
      </c>
      <c r="L303" s="2">
        <v>3.9947220990476899</v>
      </c>
      <c r="M303" s="7">
        <f>products_final_scores_scenarios[[#This Row],[rating_raw]]*products_final_scores_scenarios[[#This Row],[reviews_count]]</f>
        <v>21.999999999999957</v>
      </c>
      <c r="N303" s="7">
        <f>products_final_scores_scenarios[[#This Row],[rating_smoothed]]*products_final_scores_scenarios[[#This Row],[reviews_count]]</f>
        <v>25.931323509530881</v>
      </c>
      <c r="O303" s="7">
        <f>products_final_scores_scenarios[[#This Row],[final_score__balanced]]*products_final_scores_scenarios[[#This Row],[reviews_count]]</f>
        <v>24.934738757838478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51B0CB-6007-4193-8D04-BD2303BC4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Total</vt:lpstr>
      <vt:lpstr>products_final_scores_scenarios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</dc:creator>
  <cp:lastModifiedBy>Serhii</cp:lastModifiedBy>
  <dcterms:created xsi:type="dcterms:W3CDTF">2026-02-18T11:05:28Z</dcterms:created>
  <dcterms:modified xsi:type="dcterms:W3CDTF">2026-03-07T07:38:45Z</dcterms:modified>
</cp:coreProperties>
</file>